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opline KPIs" sheetId="2" state="visible" r:id="rId4"/>
    <sheet name="OTIF by Carrier" sheetId="3" state="visible" r:id="rId5"/>
    <sheet name="OTIF by Region" sheetId="4" state="visible" r:id="rId6"/>
    <sheet name="Cost per Order" sheetId="5" state="visible" r:id="rId7"/>
    <sheet name="EDD Accuracy" sheetId="6" state="visible" r:id="rId8"/>
    <sheet name="Failed Delivery Pareto" sheetId="7" state="visible" r:id="rId9"/>
    <sheet name="Cross-Border USCA" sheetId="8" state="visible" r:id="rId10"/>
    <sheet name="Corporate Segment" sheetId="9" state="visible" r:id="rId11"/>
    <sheet name="Savings Simulatio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<sst xmlns="http://schemas.openxmlformats.org/spreadsheetml/2006/main" count="536" uniqueCount="224">
  <si>
    <t xml:space="preserve">Regional Outbound Fulfillment &amp; Logistics Analytics — KPI Workbook</t>
  </si>
  <si>
    <t xml:space="preserve">Companion data workbook to the case study report and interactive dashboard.</t>
  </si>
  <si>
    <t xml:space="preserve">DATA SOURCE</t>
  </si>
  <si>
    <t xml:space="preserve">DataCo Smart Supply Chain Dataset (Kaggle). kagglehub id: shashwatwork/dataco-smart-supply-chain-for-big-data-analysis</t>
  </si>
  <si>
    <t xml:space="preserve">178,626 orders analyzed (of 180,519 raw records; fraud-hold/payment-review rows that never shipped were excluded), Jan 2015 - Jan 2018.</t>
  </si>
  <si>
    <t xml:space="preserve">METHODOLOGY NOTE</t>
  </si>
  <si>
    <t xml:space="preserve">Cost per Order, margin leakage, and savings-simulation figures are a transparent, documented parcel-cost model layered over real</t>
  </si>
  <si>
    <t xml:space="preserve">order-level operational fields (shipping mode, scheduled vs. actual transit days, region, order value, quantity). No public dataset</t>
  </si>
  <si>
    <t xml:space="preserve">exposes real carrier invoices, so this model stands in for one, exactly as an analyst would build a cost estimate ahead of finalized</t>
  </si>
  <si>
    <t xml:space="preserve">carrier rate cards. Full formulas are documented in the case study report Appendix A.</t>
  </si>
  <si>
    <t xml:space="preserve">HOW TO READ THIS WORKBOOK</t>
  </si>
  <si>
    <t xml:space="preserve">Blue text = input values carried over from the Python analysis (counts, rates as measured in the data).</t>
  </si>
  <si>
    <t xml:space="preserve">Black text = formulas computed live within this workbook from the blue inputs (e.g., rates recomputed from counts, cumulative %, totals).</t>
  </si>
  <si>
    <t xml:space="preserve">SHEET INDEX</t>
  </si>
  <si>
    <t xml:space="preserve">1. Topline KPIs — headline metrics for the whole network</t>
  </si>
  <si>
    <t xml:space="preserve">2. OTIF by Carrier — On-Time-In-Full performance by service tier</t>
  </si>
  <si>
    <t xml:space="preserve">3. OTIF by Region — OTIF performance by order region</t>
  </si>
  <si>
    <t xml:space="preserve">4. Cost per Order — modeled shipping cost by region x carrier</t>
  </si>
  <si>
    <t xml:space="preserve">5. EDD Accuracy — Estimated Delivery Date performance by carrier</t>
  </si>
  <si>
    <t xml:space="preserve">6. Failed Delivery Pareto — root cause by region and category</t>
  </si>
  <si>
    <t xml:space="preserve">7. Cross-Border USCA — Domestic US vs. US to Canada performance</t>
  </si>
  <si>
    <t xml:space="preserve">8. Corporate Segment — B2B seasonal volume and category mix</t>
  </si>
  <si>
    <t xml:space="preserve">9. Savings Simulation — cost-reduction levers and simulated impact</t>
  </si>
  <si>
    <t xml:space="preserve">Topline KPIs</t>
  </si>
  <si>
    <t xml:space="preserve">Headline fulfillment &amp; cost metrics across all 178,626 analyzed orders</t>
  </si>
  <si>
    <t xml:space="preserve">Metric</t>
  </si>
  <si>
    <t xml:space="preserve">Value</t>
  </si>
  <si>
    <t xml:space="preserve">Total Orders Analyzed</t>
  </si>
  <si>
    <t xml:space="preserve">OTIF Orders (derived)</t>
  </si>
  <si>
    <t xml:space="preserve">On-Time Orders (derived)</t>
  </si>
  <si>
    <t xml:space="preserve">Cancelled Orders (derived)</t>
  </si>
  <si>
    <t xml:space="preserve">Total Outbound Shipping Cost ($)</t>
  </si>
  <si>
    <t xml:space="preserve">Total Shipping Margin Leakage ($)</t>
  </si>
  <si>
    <t xml:space="preserve">Total Reshipment Cost ($, cancelled orders)</t>
  </si>
  <si>
    <t xml:space="preserve">Simulated Annual Savings ($, 3 levers)</t>
  </si>
  <si>
    <t xml:space="preserve">Corporate (B2B) Segment Orders</t>
  </si>
  <si>
    <t xml:space="preserve">Corporate (B2B) Segment Sales ($)</t>
  </si>
  <si>
    <t xml:space="preserve">Cross-Border US-&gt;Canada Orders</t>
  </si>
  <si>
    <t xml:space="preserve">Derived Rates (computed by formula from rows above)</t>
  </si>
  <si>
    <t xml:space="preserve">OTIF Rate</t>
  </si>
  <si>
    <t xml:space="preserve">On-Time Rate</t>
  </si>
  <si>
    <t xml:space="preserve">Cancellation Rate</t>
  </si>
  <si>
    <t xml:space="preserve">Avg. Cost per Order</t>
  </si>
  <si>
    <t xml:space="preserve">Margin Leakage as % of Total Cost</t>
  </si>
  <si>
    <t xml:space="preserve">Simulated Savings as % of Total Cost</t>
  </si>
  <si>
    <t xml:space="preserve">OTIF by Carrier / Service Tier</t>
  </si>
  <si>
    <t xml:space="preserve">OTIF rate recomputed by formula from order counts</t>
  </si>
  <si>
    <t xml:space="preserve">Carrier / Service Tier</t>
  </si>
  <si>
    <t xml:space="preserve">Orders</t>
  </si>
  <si>
    <t xml:space="preserve">OTIF Orders</t>
  </si>
  <si>
    <t xml:space="preserve">On-Time Orders</t>
  </si>
  <si>
    <t xml:space="preserve">Cancelled Orders</t>
  </si>
  <si>
    <t xml:space="preserve">Avg Transit Variance (days)</t>
  </si>
  <si>
    <t xml:space="preserve">Avg Cost/Order ($)</t>
  </si>
  <si>
    <t xml:space="preserve">Cancel Rate</t>
  </si>
  <si>
    <t xml:space="preserve">Standard Class</t>
  </si>
  <si>
    <t xml:space="preserve">Second Class</t>
  </si>
  <si>
    <t xml:space="preserve">First Class</t>
  </si>
  <si>
    <t xml:space="preserve">Same Day</t>
  </si>
  <si>
    <t xml:space="preserve">TOTAL / NETWORK AVG</t>
  </si>
  <si>
    <t xml:space="preserve">OTIF by Order Region</t>
  </si>
  <si>
    <t xml:space="preserve">Order Region</t>
  </si>
  <si>
    <t xml:space="preserve">Central America</t>
  </si>
  <si>
    <t xml:space="preserve">Western Europe</t>
  </si>
  <si>
    <t xml:space="preserve">South America</t>
  </si>
  <si>
    <t xml:space="preserve">Oceania</t>
  </si>
  <si>
    <t xml:space="preserve">Northern Europe</t>
  </si>
  <si>
    <t xml:space="preserve">Southeast Asia</t>
  </si>
  <si>
    <t xml:space="preserve">Southern Europe</t>
  </si>
  <si>
    <t xml:space="preserve">Caribbean</t>
  </si>
  <si>
    <t xml:space="preserve">West of USA </t>
  </si>
  <si>
    <t xml:space="preserve">South Asia</t>
  </si>
  <si>
    <t xml:space="preserve">Eastern Asia</t>
  </si>
  <si>
    <t xml:space="preserve">East of USA</t>
  </si>
  <si>
    <t xml:space="preserve">West Asia</t>
  </si>
  <si>
    <t xml:space="preserve">US Center </t>
  </si>
  <si>
    <t xml:space="preserve">South of  USA </t>
  </si>
  <si>
    <t xml:space="preserve">Eastern Europe</t>
  </si>
  <si>
    <t xml:space="preserve">West Africa</t>
  </si>
  <si>
    <t xml:space="preserve">North Africa</t>
  </si>
  <si>
    <t xml:space="preserve">East Africa</t>
  </si>
  <si>
    <t xml:space="preserve">Central Africa</t>
  </si>
  <si>
    <t xml:space="preserve">Southern Africa</t>
  </si>
  <si>
    <t xml:space="preserve">Canada</t>
  </si>
  <si>
    <t xml:space="preserve">Central Asia</t>
  </si>
  <si>
    <t xml:space="preserve">Cost per Order — by Region x Carrier</t>
  </si>
  <si>
    <t xml:space="preserve">Modeled outbound shipping cost (see report Appendix A for formula)</t>
  </si>
  <si>
    <t xml:space="preserve">Carrier</t>
  </si>
  <si>
    <t xml:space="preserve">Total Cost ($)</t>
  </si>
  <si>
    <t xml:space="preserve">Avg Margin Leakage ($)</t>
  </si>
  <si>
    <t xml:space="preserve">Total Margin Leakage ($)</t>
  </si>
  <si>
    <t xml:space="preserve">EDD Accuracy by Carrier</t>
  </si>
  <si>
    <t xml:space="preserve">EDD-met rate recomputed by formula from order counts</t>
  </si>
  <si>
    <t xml:space="preserve">EDD Met Orders</t>
  </si>
  <si>
    <t xml:space="preserve">Avg Scheduled Days</t>
  </si>
  <si>
    <t xml:space="preserve">Avg Real Days</t>
  </si>
  <si>
    <t xml:space="preserve">Avg Variance (days)</t>
  </si>
  <si>
    <t xml:space="preserve">EDD Met Rate</t>
  </si>
  <si>
    <t xml:space="preserve">Failed Delivery Root-Cause Pareto</t>
  </si>
  <si>
    <t xml:space="preserve">Cumulative % computed by formula (running total)</t>
  </si>
  <si>
    <t xml:space="preserve">By Region</t>
  </si>
  <si>
    <t xml:space="preserve">Failed Orders</t>
  </si>
  <si>
    <t xml:space="preserve">Reshipment Cost ($)</t>
  </si>
  <si>
    <t xml:space="preserve">Cumulative %</t>
  </si>
  <si>
    <t xml:space="preserve">By Category</t>
  </si>
  <si>
    <t xml:space="preserve">Category Name</t>
  </si>
  <si>
    <t xml:space="preserve">Cleats</t>
  </si>
  <si>
    <t xml:space="preserve">Men's Footwear</t>
  </si>
  <si>
    <t xml:space="preserve">Women's Apparel</t>
  </si>
  <si>
    <t xml:space="preserve">Indoor/Outdoor Games</t>
  </si>
  <si>
    <t xml:space="preserve">Fishing</t>
  </si>
  <si>
    <t xml:space="preserve">Water Sports</t>
  </si>
  <si>
    <t xml:space="preserve">Camping &amp; Hiking</t>
  </si>
  <si>
    <t xml:space="preserve">Cardio Equipment</t>
  </si>
  <si>
    <t xml:space="preserve">Shop By Sport</t>
  </si>
  <si>
    <t xml:space="preserve">Electronics</t>
  </si>
  <si>
    <t xml:space="preserve">Accessories</t>
  </si>
  <si>
    <t xml:space="preserve">Golf Balls</t>
  </si>
  <si>
    <t xml:space="preserve">Girls' Apparel</t>
  </si>
  <si>
    <t xml:space="preserve">Trade-In</t>
  </si>
  <si>
    <t xml:space="preserve">Golf Gloves</t>
  </si>
  <si>
    <t xml:space="preserve">Video Games</t>
  </si>
  <si>
    <t xml:space="preserve">Children's Clothing</t>
  </si>
  <si>
    <t xml:space="preserve">Cameras </t>
  </si>
  <si>
    <t xml:space="preserve">Kids' Golf Clubs</t>
  </si>
  <si>
    <t xml:space="preserve">Crafts</t>
  </si>
  <si>
    <t xml:space="preserve">Hockey</t>
  </si>
  <si>
    <t xml:space="preserve">Baseball &amp; Softball</t>
  </si>
  <si>
    <t xml:space="preserve">DVDs</t>
  </si>
  <si>
    <t xml:space="preserve">Toys</t>
  </si>
  <si>
    <t xml:space="preserve">Golf Shoes</t>
  </si>
  <si>
    <t xml:space="preserve">Consumer Electronics</t>
  </si>
  <si>
    <t xml:space="preserve">Sporting Goods</t>
  </si>
  <si>
    <t xml:space="preserve">Boxing &amp; MMA</t>
  </si>
  <si>
    <t xml:space="preserve">Pet Supplies</t>
  </si>
  <si>
    <t xml:space="preserve">Women's Clothing</t>
  </si>
  <si>
    <t xml:space="preserve">Garden</t>
  </si>
  <si>
    <t xml:space="preserve">Music</t>
  </si>
  <si>
    <t xml:space="preserve">Computers</t>
  </si>
  <si>
    <t xml:space="preserve">Hunting &amp; Shooting</t>
  </si>
  <si>
    <t xml:space="preserve">Health and Beauty</t>
  </si>
  <si>
    <t xml:space="preserve">Lacrosse</t>
  </si>
  <si>
    <t xml:space="preserve">Tennis &amp; Racquet</t>
  </si>
  <si>
    <t xml:space="preserve">Books </t>
  </si>
  <si>
    <t xml:space="preserve">Fitness Accessories</t>
  </si>
  <si>
    <t xml:space="preserve">Golf Apparel</t>
  </si>
  <si>
    <t xml:space="preserve">Women's Golf Clubs</t>
  </si>
  <si>
    <t xml:space="preserve">Men's Clothing</t>
  </si>
  <si>
    <t xml:space="preserve">Men's Golf Clubs</t>
  </si>
  <si>
    <t xml:space="preserve">Baby </t>
  </si>
  <si>
    <t xml:space="preserve">CDs </t>
  </si>
  <si>
    <t xml:space="preserve">Basketball</t>
  </si>
  <si>
    <t xml:space="preserve">Strength Training</t>
  </si>
  <si>
    <t xml:space="preserve">Soccer</t>
  </si>
  <si>
    <t xml:space="preserve">As Seen on  TV!</t>
  </si>
  <si>
    <t xml:space="preserve">Cross-Border US &lt;-&gt; Canada (USCA Market)</t>
  </si>
  <si>
    <t xml:space="preserve">Post-customs on-time rate includes a modeled +1 day CBSA clearance buffer for Canada-bound orders</t>
  </si>
  <si>
    <t xml:space="preserve">Lane</t>
  </si>
  <si>
    <t xml:space="preserve">On-Time Rate (Pre-Customs)</t>
  </si>
  <si>
    <t xml:space="preserve">On-Time Rate (Post-Customs)</t>
  </si>
  <si>
    <t xml:space="preserve">Avg Sales ($)</t>
  </si>
  <si>
    <t xml:space="preserve">Cross-border: US DC -&gt; Canada</t>
  </si>
  <si>
    <t xml:space="preserve">Domestic US</t>
  </si>
  <si>
    <t xml:space="preserve">Corporate (B2B) Segment — Seasonal Volume &amp; Category Mix</t>
  </si>
  <si>
    <t xml:space="preserve">Product-focus decision for this project: Corporate/B2B segment, per user direction</t>
  </si>
  <si>
    <t xml:space="preserve">Monthly Volume</t>
  </si>
  <si>
    <t xml:space="preserve">Month</t>
  </si>
  <si>
    <t xml:space="preserve">Total Units</t>
  </si>
  <si>
    <t xml:space="preserve">Total Sales ($)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</si>
  <si>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</si>
  <si>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</si>
  <si>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</si>
  <si>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</si>
  <si>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</si>
  <si>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</si>
  <si>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</si>
  <si>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</si>
  <si>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</si>
  <si>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</si>
  <si>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</si>
  <si>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</si>
  <si>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</si>
  <si>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</si>
  <si>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</si>
  <si>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</si>
  <si>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</si>
  <si>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</si>
  <si>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</si>
  <si>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</si>
  <si>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</si>
  <si>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</si>
  <si>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</si>
  <si>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</si>
  <si>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</si>
  <si>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</si>
  <si>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</si>
  <si>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</si>
  <si>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</si>
  <si>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</si>
  <si>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</si>
  <si>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</si>
  <si>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</si>
  <si>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</si>
  <si>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</si>
  <si>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</si>
  <si>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</si>
  <si>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Category Mix</t>
  </si>
  <si>
    <t xml:space="preserve">Category</t>
  </si>
  <si>
    <t xml:space="preserve">Golf Bags &amp; Carts</t>
  </si>
  <si>
    <t xml:space="preserve">Cost Reduction Savings Simulation</t>
  </si>
  <si>
    <t xml:space="preserve">Three-lever plan: carrier diversification, zone skipping, packaging optimization (see report Section 12 / Appendix A.2)</t>
  </si>
  <si>
    <t xml:space="preserve">By Lever</t>
  </si>
  <si>
    <t xml:space="preserve">Lever</t>
  </si>
  <si>
    <t xml:space="preserve">Annual Savings ($)</t>
  </si>
  <si>
    <t xml:space="preserve">% of Total Cost</t>
  </si>
  <si>
    <t xml:space="preserve">Carrier diversification</t>
  </si>
  <si>
    <t xml:space="preserve">Zone skipping</t>
  </si>
  <si>
    <t xml:space="preserve">Packaging optimization</t>
  </si>
  <si>
    <t xml:space="preserve">TOTAL</t>
  </si>
  <si>
    <t xml:space="preserve">Current Cost ($)</t>
  </si>
  <si>
    <t xml:space="preserve">Savings: Carrier Diversification ($)</t>
  </si>
  <si>
    <t xml:space="preserve">Savings: Zone Skipping ($)</t>
  </si>
  <si>
    <t xml:space="preserve">Total Simulated Savings ($)</t>
  </si>
  <si>
    <t xml:space="preserve">Savings %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</si>
</sst>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$#,##0"/>
    <numFmt numFmtId="167" formatCode="0.0%"/>
    <numFmt numFmtId="168" formatCode="\$#,##0.00"/>
    <numFmt numFmtId="169" formatCode="0.00"/>
    <numFmt numFmtId="170" formatCode="#,##0;\(#,##0\);\-"/>
    <numFmt numFmtId="171" formatCode="\$#,##0;&quot;($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B262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2B262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A0522D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4B6B4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B2620"/>
        <bgColor rgb="FF33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B6B43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A0522D"/>
      <rgbColor rgb="FF993366"/>
      <rgbColor rgb="FF333399"/>
      <rgbColor rgb="FF2B26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4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15" hidden="false" customHeight="false" outlineLevel="0" collapsed="false">
      <c r="A4" s="5" t="s">
        <v>25</v>
      </c>
      <c r="B4" s="5" t="s">
        <v>26</v>
      </c>
    </row>
    <row r="5" customFormat="false" ht="15" hidden="false" customHeight="false" outlineLevel="0" collapsed="false">
      <c r="A5" s="3" t="s">
        <v>27</v>
      </c>
      <c r="B5" s="6" t="n">
        <v>178626</v>
      </c>
    </row>
    <row r="6" customFormat="false" ht="15" hidden="false" customHeight="false" outlineLevel="0" collapsed="false">
      <c r="A6" s="3" t="s">
        <v>28</v>
      </c>
      <c r="B6" s="6" t="n">
        <v>72969</v>
      </c>
    </row>
    <row r="7" customFormat="false" ht="15" hidden="false" customHeight="false" outlineLevel="0" collapsed="false">
      <c r="A7" s="3" t="s">
        <v>29</v>
      </c>
      <c r="B7" s="6" t="n">
        <v>76309</v>
      </c>
    </row>
    <row r="8" customFormat="false" ht="15" hidden="false" customHeight="false" outlineLevel="0" collapsed="false">
      <c r="A8" s="3" t="s">
        <v>30</v>
      </c>
      <c r="B8" s="6" t="n">
        <v>7752</v>
      </c>
    </row>
    <row r="9" customFormat="false" ht="15" hidden="false" customHeight="false" outlineLevel="0" collapsed="false">
      <c r="A9" s="3" t="s">
        <v>31</v>
      </c>
      <c r="B9" s="7" t="n">
        <v>3738951.6</v>
      </c>
    </row>
    <row r="10" customFormat="false" ht="15" hidden="false" customHeight="false" outlineLevel="0" collapsed="false">
      <c r="A10" s="3" t="s">
        <v>32</v>
      </c>
      <c r="B10" s="7" t="n">
        <v>1821457.46</v>
      </c>
    </row>
    <row r="11" customFormat="false" ht="15" hidden="false" customHeight="false" outlineLevel="0" collapsed="false">
      <c r="A11" s="3" t="s">
        <v>33</v>
      </c>
      <c r="B11" s="7" t="n">
        <v>163265.13</v>
      </c>
    </row>
    <row r="12" customFormat="false" ht="15" hidden="false" customHeight="false" outlineLevel="0" collapsed="false">
      <c r="A12" s="3" t="s">
        <v>34</v>
      </c>
      <c r="B12" s="7" t="n">
        <v>219166.38</v>
      </c>
    </row>
    <row r="13" customFormat="false" ht="15" hidden="false" customHeight="false" outlineLevel="0" collapsed="false">
      <c r="A13" s="3" t="s">
        <v>35</v>
      </c>
      <c r="B13" s="6" t="n">
        <v>54222</v>
      </c>
    </row>
    <row r="14" customFormat="false" ht="15" hidden="false" customHeight="false" outlineLevel="0" collapsed="false">
      <c r="A14" s="3" t="s">
        <v>36</v>
      </c>
      <c r="B14" s="7" t="n">
        <v>11054183.18</v>
      </c>
    </row>
    <row r="15" customFormat="false" ht="15" hidden="false" customHeight="false" outlineLevel="0" collapsed="false">
      <c r="A15" s="3" t="s">
        <v>37</v>
      </c>
      <c r="B15" s="6" t="n">
        <v>958</v>
      </c>
    </row>
    <row r="17" customFormat="false" ht="15" hidden="false" customHeight="false" outlineLevel="0" collapsed="false">
      <c r="A17" s="4" t="s">
        <v>38</v>
      </c>
    </row>
    <row r="18" customFormat="false" ht="15" hidden="false" customHeight="false" outlineLevel="0" collapsed="false">
      <c r="A18" s="3" t="s">
        <v>39</v>
      </c>
      <c r="B18" s="8" t="n">
        <f aca="false">B6/B5</f>
        <v>0.408501561922676</v>
      </c>
    </row>
    <row r="19" customFormat="false" ht="15" hidden="false" customHeight="false" outlineLevel="0" collapsed="false">
      <c r="A19" s="3" t="s">
        <v>40</v>
      </c>
      <c r="B19" s="8" t="n">
        <f aca="false">B7/B5</f>
        <v>0.427199847726535</v>
      </c>
    </row>
    <row r="20" customFormat="false" ht="15" hidden="false" customHeight="false" outlineLevel="0" collapsed="false">
      <c r="A20" s="3" t="s">
        <v>41</v>
      </c>
      <c r="B20" s="8" t="n">
        <f aca="false">B8/B5</f>
        <v>0.0433979375902724</v>
      </c>
    </row>
    <row r="21" customFormat="false" ht="15" hidden="false" customHeight="false" outlineLevel="0" collapsed="false">
      <c r="A21" s="3" t="s">
        <v>42</v>
      </c>
      <c r="B21" s="9" t="n">
        <f aca="false">B9/B5</f>
        <v>20.9317322226328</v>
      </c>
    </row>
    <row r="22" customFormat="false" ht="15" hidden="false" customHeight="false" outlineLevel="0" collapsed="false">
      <c r="A22" s="3" t="s">
        <v>43</v>
      </c>
      <c r="B22" s="8" t="n">
        <f aca="false">B10/B9</f>
        <v>0.487157271573133</v>
      </c>
    </row>
    <row r="23" customFormat="false" ht="15" hidden="false" customHeight="false" outlineLevel="0" collapsed="false">
      <c r="A23" s="3" t="s">
        <v>44</v>
      </c>
      <c r="B23" s="8" t="n">
        <f aca="false">B12/B9</f>
        <v>0.0586170679502778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26.85" hidden="false" customHeight="false" outlineLevel="0" collapsed="false">
      <c r="A4" s="10" t="s">
        <v>47</v>
      </c>
      <c r="B4" s="10" t="s">
        <v>48</v>
      </c>
      <c r="C4" s="10" t="s">
        <v>49</v>
      </c>
      <c r="D4" s="10" t="s">
        <v>50</v>
      </c>
      <c r="E4" s="10" t="s">
        <v>51</v>
      </c>
      <c r="F4" s="10" t="s">
        <v>52</v>
      </c>
      <c r="G4" s="10" t="s">
        <v>53</v>
      </c>
      <c r="H4" s="10" t="s">
        <v>39</v>
      </c>
      <c r="I4" s="10" t="s">
        <v>40</v>
      </c>
      <c r="J4" s="10" t="s">
        <v>54</v>
      </c>
    </row>
    <row r="5" customFormat="false" ht="15" hidden="false" customHeight="false" outlineLevel="0" collapsed="false">
      <c r="A5" s="11" t="s">
        <v>55</v>
      </c>
      <c r="B5" s="12" t="n">
        <v>106654</v>
      </c>
      <c r="C5" s="12" t="n">
        <v>61458</v>
      </c>
      <c r="D5" s="12" t="n">
        <v>64229</v>
      </c>
      <c r="E5" s="12" t="n">
        <v>4599</v>
      </c>
      <c r="F5" s="13" t="n">
        <v>0</v>
      </c>
      <c r="G5" s="14" t="n">
        <v>15.03</v>
      </c>
      <c r="H5" s="15" t="n">
        <f aca="false">C5/B5</f>
        <v>0.576237178164907</v>
      </c>
      <c r="I5" s="15" t="n">
        <f aca="false">D5/B5</f>
        <v>0.602218388433627</v>
      </c>
      <c r="J5" s="15" t="n">
        <f aca="false">E5/B5</f>
        <v>0.0431207455885386</v>
      </c>
    </row>
    <row r="6" customFormat="false" ht="15" hidden="false" customHeight="false" outlineLevel="0" collapsed="false">
      <c r="A6" s="16" t="s">
        <v>56</v>
      </c>
      <c r="B6" s="17" t="n">
        <v>34830</v>
      </c>
      <c r="C6" s="17" t="n">
        <v>6738</v>
      </c>
      <c r="D6" s="17" t="n">
        <v>7057</v>
      </c>
      <c r="E6" s="17" t="n">
        <v>1410</v>
      </c>
      <c r="F6" s="18" t="n">
        <v>1.99</v>
      </c>
      <c r="G6" s="19" t="n">
        <v>21.98</v>
      </c>
      <c r="H6" s="15" t="n">
        <f aca="false">C6/B6</f>
        <v>0.193453919035314</v>
      </c>
      <c r="I6" s="15" t="n">
        <f aca="false">D6/B6</f>
        <v>0.202612690209589</v>
      </c>
      <c r="J6" s="15" t="n">
        <f aca="false">E6/B6</f>
        <v>0.0404823428079242</v>
      </c>
    </row>
    <row r="7" customFormat="false" ht="15" hidden="false" customHeight="false" outlineLevel="0" collapsed="false">
      <c r="A7" s="11" t="s">
        <v>57</v>
      </c>
      <c r="B7" s="12" t="n">
        <v>27499</v>
      </c>
      <c r="C7" s="12" t="n">
        <v>0</v>
      </c>
      <c r="D7" s="12" t="n">
        <v>0</v>
      </c>
      <c r="E7" s="12" t="n">
        <v>1301</v>
      </c>
      <c r="F7" s="13" t="n">
        <v>1</v>
      </c>
      <c r="G7" s="14" t="n">
        <v>31.46</v>
      </c>
      <c r="H7" s="15" t="n">
        <f aca="false">C7/B7</f>
        <v>0</v>
      </c>
      <c r="I7" s="15" t="n">
        <f aca="false">D7/B7</f>
        <v>0</v>
      </c>
      <c r="J7" s="15" t="n">
        <f aca="false">E7/B7</f>
        <v>0.0473108113022292</v>
      </c>
    </row>
    <row r="8" customFormat="false" ht="15" hidden="false" customHeight="false" outlineLevel="0" collapsed="false">
      <c r="A8" s="16" t="s">
        <v>58</v>
      </c>
      <c r="B8" s="17" t="n">
        <v>9643</v>
      </c>
      <c r="C8" s="17" t="n">
        <v>4781</v>
      </c>
      <c r="D8" s="17" t="n">
        <v>5022</v>
      </c>
      <c r="E8" s="17" t="n">
        <v>444</v>
      </c>
      <c r="F8" s="18" t="n">
        <v>0.48</v>
      </c>
      <c r="G8" s="19" t="n">
        <v>52.44</v>
      </c>
      <c r="H8" s="15" t="n">
        <f aca="false">C8/B8</f>
        <v>0.4958000622213</v>
      </c>
      <c r="I8" s="15" t="n">
        <f aca="false">D8/B8</f>
        <v>0.520792284558747</v>
      </c>
      <c r="J8" s="15" t="n">
        <f aca="false">E8/B8</f>
        <v>0.0460437623146324</v>
      </c>
    </row>
    <row r="9" customFormat="false" ht="15" hidden="false" customHeight="false" outlineLevel="0" collapsed="false">
      <c r="A9" s="20" t="s">
        <v>59</v>
      </c>
      <c r="B9" s="21" t="n">
        <f aca="false">SUM(B5:B8)</f>
        <v>178626</v>
      </c>
      <c r="C9" s="21" t="n">
        <f aca="false">SUM(C5:C8)</f>
        <v>72977</v>
      </c>
      <c r="H9" s="22" t="n">
        <f aca="false">C9/B9</f>
        <v>0.408546348235979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/>
    </row>
    <row r="4" customFormat="false" ht="26.85" hidden="false" customHeight="false" outlineLevel="0" collapsed="false">
      <c r="A4" s="10" t="s">
        <v>61</v>
      </c>
      <c r="B4" s="10" t="s">
        <v>48</v>
      </c>
      <c r="C4" s="10" t="s">
        <v>39</v>
      </c>
      <c r="D4" s="10" t="s">
        <v>40</v>
      </c>
      <c r="E4" s="10" t="s">
        <v>54</v>
      </c>
      <c r="F4" s="10" t="s">
        <v>53</v>
      </c>
    </row>
    <row r="5" customFormat="false" ht="15" hidden="false" customHeight="false" outlineLevel="0" collapsed="false">
      <c r="A5" s="11" t="s">
        <v>62</v>
      </c>
      <c r="B5" s="23" t="n">
        <v>28036</v>
      </c>
      <c r="C5" s="15" t="n">
        <v>0.41090027108004</v>
      </c>
      <c r="D5" s="15" t="n">
        <v>0.427343415608503</v>
      </c>
      <c r="E5" s="15" t="n">
        <v>0.0416250535026394</v>
      </c>
      <c r="F5" s="24" t="n">
        <v>14.6487921584829</v>
      </c>
    </row>
    <row r="6" customFormat="false" ht="15" hidden="false" customHeight="false" outlineLevel="0" collapsed="false">
      <c r="A6" s="16" t="s">
        <v>63</v>
      </c>
      <c r="B6" s="25" t="n">
        <v>26806</v>
      </c>
      <c r="C6" s="26" t="n">
        <v>0.394575841229575</v>
      </c>
      <c r="D6" s="26" t="n">
        <v>0.413937178243677</v>
      </c>
      <c r="E6" s="26" t="n">
        <v>0.0463329105424158</v>
      </c>
      <c r="F6" s="27" t="n">
        <v>22.7096537842517</v>
      </c>
    </row>
    <row r="7" customFormat="false" ht="15" hidden="false" customHeight="false" outlineLevel="0" collapsed="false">
      <c r="A7" s="11" t="s">
        <v>64</v>
      </c>
      <c r="B7" s="23" t="n">
        <v>14767</v>
      </c>
      <c r="C7" s="15" t="n">
        <v>0.405498747206609</v>
      </c>
      <c r="D7" s="15" t="n">
        <v>0.426762375567143</v>
      </c>
      <c r="E7" s="15" t="n">
        <v>0.0508566398049705</v>
      </c>
      <c r="F7" s="24" t="n">
        <v>17.4690992512868</v>
      </c>
    </row>
    <row r="8" customFormat="false" ht="15" hidden="false" customHeight="false" outlineLevel="0" collapsed="false">
      <c r="A8" s="16" t="s">
        <v>65</v>
      </c>
      <c r="B8" s="25" t="n">
        <v>10023</v>
      </c>
      <c r="C8" s="26" t="n">
        <v>0.420133692507233</v>
      </c>
      <c r="D8" s="26" t="n">
        <v>0.44038710964781</v>
      </c>
      <c r="E8" s="26" t="n">
        <v>0.0414047690312281</v>
      </c>
      <c r="F8" s="27" t="n">
        <v>27.1937886150764</v>
      </c>
    </row>
    <row r="9" customFormat="false" ht="15" hidden="false" customHeight="false" outlineLevel="0" collapsed="false">
      <c r="A9" s="11" t="s">
        <v>66</v>
      </c>
      <c r="B9" s="23" t="n">
        <v>9709</v>
      </c>
      <c r="C9" s="15" t="n">
        <v>0.420228653826347</v>
      </c>
      <c r="D9" s="15" t="n">
        <v>0.43588423112576</v>
      </c>
      <c r="E9" s="15" t="n">
        <v>0.0395509321248326</v>
      </c>
      <c r="F9" s="24" t="n">
        <v>23.2743364364401</v>
      </c>
    </row>
    <row r="10" customFormat="false" ht="15" hidden="false" customHeight="false" outlineLevel="0" collapsed="false">
      <c r="A10" s="16" t="s">
        <v>67</v>
      </c>
      <c r="B10" s="25" t="n">
        <v>9436</v>
      </c>
      <c r="C10" s="26" t="n">
        <v>0.403030945315812</v>
      </c>
      <c r="D10" s="26" t="n">
        <v>0.420941076727427</v>
      </c>
      <c r="E10" s="26" t="n">
        <v>0.0427087749046206</v>
      </c>
      <c r="F10" s="27" t="n">
        <v>25.9335722522043</v>
      </c>
    </row>
    <row r="11" customFormat="false" ht="15" hidden="false" customHeight="false" outlineLevel="0" collapsed="false">
      <c r="A11" s="11" t="s">
        <v>68</v>
      </c>
      <c r="B11" s="23" t="n">
        <v>9351</v>
      </c>
      <c r="C11" s="15" t="n">
        <v>0.413966420703668</v>
      </c>
      <c r="D11" s="15" t="n">
        <v>0.433215698855737</v>
      </c>
      <c r="E11" s="15" t="n">
        <v>0.0428831141054432</v>
      </c>
      <c r="F11" s="24" t="n">
        <v>23.2264535327287</v>
      </c>
    </row>
    <row r="12" customFormat="false" ht="15" hidden="false" customHeight="false" outlineLevel="0" collapsed="false">
      <c r="A12" s="16" t="s">
        <v>69</v>
      </c>
      <c r="B12" s="25" t="n">
        <v>8230</v>
      </c>
      <c r="C12" s="26" t="n">
        <v>0.423329283110571</v>
      </c>
      <c r="D12" s="26" t="n">
        <v>0.439611178614824</v>
      </c>
      <c r="E12" s="26" t="n">
        <v>0.0445929526123936</v>
      </c>
      <c r="F12" s="27" t="n">
        <v>15.5666123748993</v>
      </c>
    </row>
    <row r="13" customFormat="false" ht="15" hidden="false" customHeight="false" outlineLevel="0" collapsed="false">
      <c r="A13" s="11" t="s">
        <v>70</v>
      </c>
      <c r="B13" s="23" t="n">
        <v>7924</v>
      </c>
      <c r="C13" s="15" t="n">
        <v>0.411660777385159</v>
      </c>
      <c r="D13" s="15" t="n">
        <v>0.435259969712267</v>
      </c>
      <c r="E13" s="15" t="n">
        <v>0.0502271580010095</v>
      </c>
      <c r="F13" s="24" t="n">
        <v>19.6819118626634</v>
      </c>
    </row>
    <row r="14" customFormat="false" ht="15" hidden="false" customHeight="false" outlineLevel="0" collapsed="false">
      <c r="A14" s="16" t="s">
        <v>71</v>
      </c>
      <c r="B14" s="25" t="n">
        <v>7677</v>
      </c>
      <c r="C14" s="26" t="n">
        <v>0.400937866354045</v>
      </c>
      <c r="D14" s="26" t="n">
        <v>0.414354565585515</v>
      </c>
      <c r="E14" s="26" t="n">
        <v>0.0359515435717077</v>
      </c>
      <c r="F14" s="27" t="n">
        <v>25.7440385128091</v>
      </c>
    </row>
    <row r="15" customFormat="false" ht="15" hidden="false" customHeight="false" outlineLevel="0" collapsed="false">
      <c r="A15" s="11" t="s">
        <v>72</v>
      </c>
      <c r="B15" s="23" t="n">
        <v>7189</v>
      </c>
      <c r="C15" s="15" t="n">
        <v>0.414383085269161</v>
      </c>
      <c r="D15" s="15" t="n">
        <v>0.432744470719154</v>
      </c>
      <c r="E15" s="15" t="n">
        <v>0.0427041313117262</v>
      </c>
      <c r="F15" s="24" t="n">
        <v>26.4120947922351</v>
      </c>
    </row>
    <row r="16" customFormat="false" ht="15" hidden="false" customHeight="false" outlineLevel="0" collapsed="false">
      <c r="A16" s="16" t="s">
        <v>73</v>
      </c>
      <c r="B16" s="25" t="n">
        <v>6841</v>
      </c>
      <c r="C16" s="26" t="n">
        <v>0.399502996637918</v>
      </c>
      <c r="D16" s="26" t="n">
        <v>0.419675486040053</v>
      </c>
      <c r="E16" s="26" t="n">
        <v>0.0435608829118549</v>
      </c>
      <c r="F16" s="27" t="n">
        <v>11.1506690996599</v>
      </c>
    </row>
    <row r="17" customFormat="false" ht="15" hidden="false" customHeight="false" outlineLevel="0" collapsed="false">
      <c r="A17" s="11" t="s">
        <v>74</v>
      </c>
      <c r="B17" s="23" t="n">
        <v>5925</v>
      </c>
      <c r="C17" s="15" t="n">
        <v>0.40253164556962</v>
      </c>
      <c r="D17" s="15" t="n">
        <v>0.424472573839662</v>
      </c>
      <c r="E17" s="15" t="n">
        <v>0.0443881856540084</v>
      </c>
      <c r="F17" s="24" t="n">
        <v>24.4234247921718</v>
      </c>
    </row>
    <row r="18" customFormat="false" ht="15" hidden="false" customHeight="false" outlineLevel="0" collapsed="false">
      <c r="A18" s="16" t="s">
        <v>75</v>
      </c>
      <c r="B18" s="25" t="n">
        <v>5804</v>
      </c>
      <c r="C18" s="26" t="n">
        <v>0.409717436250862</v>
      </c>
      <c r="D18" s="26" t="n">
        <v>0.430909717436251</v>
      </c>
      <c r="E18" s="26" t="n">
        <v>0.0403170227429359</v>
      </c>
      <c r="F18" s="27" t="n">
        <v>20.1582999244841</v>
      </c>
    </row>
    <row r="19" customFormat="false" ht="15" hidden="false" customHeight="false" outlineLevel="0" collapsed="false">
      <c r="A19" s="11" t="s">
        <v>76</v>
      </c>
      <c r="B19" s="23" t="n">
        <v>3992</v>
      </c>
      <c r="C19" s="15" t="n">
        <v>0.396793587174349</v>
      </c>
      <c r="D19" s="15" t="n">
        <v>0.420841683366733</v>
      </c>
      <c r="E19" s="15" t="n">
        <v>0.0475951903807615</v>
      </c>
      <c r="F19" s="24" t="n">
        <v>19.958643713036</v>
      </c>
    </row>
    <row r="20" customFormat="false" ht="15" hidden="false" customHeight="false" outlineLevel="0" collapsed="false">
      <c r="A20" s="16" t="s">
        <v>77</v>
      </c>
      <c r="B20" s="25" t="n">
        <v>3882</v>
      </c>
      <c r="C20" s="26" t="n">
        <v>0.408552292632664</v>
      </c>
      <c r="D20" s="26" t="n">
        <v>0.425296239052035</v>
      </c>
      <c r="E20" s="26" t="n">
        <v>0.0347758887171561</v>
      </c>
      <c r="F20" s="27" t="n">
        <v>24.0211847362364</v>
      </c>
    </row>
    <row r="21" customFormat="false" ht="15" hidden="false" customHeight="false" outlineLevel="0" collapsed="false">
      <c r="A21" s="11" t="s">
        <v>78</v>
      </c>
      <c r="B21" s="23" t="n">
        <v>3679</v>
      </c>
      <c r="C21" s="15" t="n">
        <v>0.436531666213645</v>
      </c>
      <c r="D21" s="15" t="n">
        <v>0.448763250883392</v>
      </c>
      <c r="E21" s="15" t="n">
        <v>0.0339766240826311</v>
      </c>
      <c r="F21" s="24" t="n">
        <v>25.2167494710869</v>
      </c>
    </row>
    <row r="22" customFormat="false" ht="15" hidden="false" customHeight="false" outlineLevel="0" collapsed="false">
      <c r="A22" s="16" t="s">
        <v>79</v>
      </c>
      <c r="B22" s="25" t="n">
        <v>3212</v>
      </c>
      <c r="C22" s="26" t="n">
        <v>0.410647571606476</v>
      </c>
      <c r="D22" s="26" t="n">
        <v>0.434308841843088</v>
      </c>
      <c r="E22" s="26" t="n">
        <v>0.0454545454545454</v>
      </c>
      <c r="F22" s="27" t="n">
        <v>24.1740800185465</v>
      </c>
    </row>
    <row r="23" customFormat="false" ht="15" hidden="false" customHeight="false" outlineLevel="0" collapsed="false">
      <c r="A23" s="11" t="s">
        <v>80</v>
      </c>
      <c r="B23" s="23" t="n">
        <v>1834</v>
      </c>
      <c r="C23" s="15" t="n">
        <v>0.404580152671756</v>
      </c>
      <c r="D23" s="15" t="n">
        <v>0.428026172300981</v>
      </c>
      <c r="E23" s="15" t="n">
        <v>0.0387131952017448</v>
      </c>
      <c r="F23" s="24" t="n">
        <v>25.6978400389151</v>
      </c>
    </row>
    <row r="24" customFormat="false" ht="15" hidden="false" customHeight="false" outlineLevel="0" collapsed="false">
      <c r="A24" s="16" t="s">
        <v>81</v>
      </c>
      <c r="B24" s="25" t="n">
        <v>1657</v>
      </c>
      <c r="C24" s="26" t="n">
        <v>0.386240193120097</v>
      </c>
      <c r="D24" s="26" t="n">
        <v>0.395292697646349</v>
      </c>
      <c r="E24" s="26" t="n">
        <v>0.0368135184067592</v>
      </c>
      <c r="F24" s="27" t="n">
        <v>26.344717241902</v>
      </c>
    </row>
    <row r="25" customFormat="false" ht="15" hidden="false" customHeight="false" outlineLevel="0" collapsed="false">
      <c r="A25" s="11" t="s">
        <v>82</v>
      </c>
      <c r="B25" s="23" t="n">
        <v>1143</v>
      </c>
      <c r="C25" s="15" t="n">
        <v>0.418197725284339</v>
      </c>
      <c r="D25" s="15" t="n">
        <v>0.438320209973753</v>
      </c>
      <c r="E25" s="15" t="n">
        <v>0.0498687664041994</v>
      </c>
      <c r="F25" s="24" t="n">
        <v>25.6362331142618</v>
      </c>
    </row>
    <row r="26" customFormat="false" ht="15" hidden="false" customHeight="false" outlineLevel="0" collapsed="false">
      <c r="A26" s="16" t="s">
        <v>83</v>
      </c>
      <c r="B26" s="25" t="n">
        <v>958</v>
      </c>
      <c r="C26" s="26" t="n">
        <v>0.458246346555324</v>
      </c>
      <c r="D26" s="26" t="n">
        <v>0.481210855949896</v>
      </c>
      <c r="E26" s="26" t="n">
        <v>0.0542797494780793</v>
      </c>
      <c r="F26" s="27" t="n">
        <v>13.7552818137022</v>
      </c>
    </row>
    <row r="27" customFormat="false" ht="15" hidden="false" customHeight="false" outlineLevel="0" collapsed="false">
      <c r="A27" s="11" t="s">
        <v>84</v>
      </c>
      <c r="B27" s="23" t="n">
        <v>551</v>
      </c>
      <c r="C27" s="15" t="n">
        <v>0.424682395644283</v>
      </c>
      <c r="D27" s="15" t="n">
        <v>0.426497277676951</v>
      </c>
      <c r="E27" s="15" t="n">
        <v>0.0199637023593466</v>
      </c>
      <c r="F27" s="24" t="n">
        <v>27.0784527556716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4" customFormat="false" ht="26.85" hidden="false" customHeight="false" outlineLevel="0" collapsed="false">
      <c r="A4" s="10" t="s">
        <v>61</v>
      </c>
      <c r="B4" s="10" t="s">
        <v>87</v>
      </c>
      <c r="C4" s="10" t="s">
        <v>48</v>
      </c>
      <c r="D4" s="10" t="s">
        <v>53</v>
      </c>
      <c r="E4" s="10" t="s">
        <v>88</v>
      </c>
      <c r="F4" s="10" t="s">
        <v>89</v>
      </c>
      <c r="G4" s="10" t="s">
        <v>90</v>
      </c>
    </row>
    <row r="5" customFormat="false" ht="15" hidden="false" customHeight="false" outlineLevel="0" collapsed="false">
      <c r="A5" s="11" t="s">
        <v>63</v>
      </c>
      <c r="B5" s="11" t="s">
        <v>55</v>
      </c>
      <c r="C5" s="23" t="n">
        <v>15664</v>
      </c>
      <c r="D5" s="24" t="n">
        <v>16.1404552435868</v>
      </c>
      <c r="E5" s="24" t="n">
        <v>252824.090935543</v>
      </c>
      <c r="F5" s="24" t="n">
        <v>5.38550037775922</v>
      </c>
      <c r="G5" s="24" t="n">
        <v>84358.4779172204</v>
      </c>
    </row>
    <row r="6" customFormat="false" ht="15" hidden="false" customHeight="false" outlineLevel="0" collapsed="false">
      <c r="A6" s="16" t="s">
        <v>62</v>
      </c>
      <c r="B6" s="16" t="s">
        <v>55</v>
      </c>
      <c r="C6" s="25" t="n">
        <v>16893</v>
      </c>
      <c r="D6" s="27" t="n">
        <v>10.7196117068715</v>
      </c>
      <c r="E6" s="27" t="n">
        <v>181086.40056418</v>
      </c>
      <c r="F6" s="27" t="n">
        <v>1.92115583821565</v>
      </c>
      <c r="G6" s="27" t="n">
        <v>32454.0855749769</v>
      </c>
    </row>
    <row r="7" customFormat="false" ht="15" hidden="false" customHeight="false" outlineLevel="0" collapsed="false">
      <c r="A7" s="11" t="s">
        <v>63</v>
      </c>
      <c r="B7" s="11" t="s">
        <v>57</v>
      </c>
      <c r="C7" s="23" t="n">
        <v>4264</v>
      </c>
      <c r="D7" s="24" t="n">
        <v>33.9787478440202</v>
      </c>
      <c r="E7" s="24" t="n">
        <v>144885.380806902</v>
      </c>
      <c r="F7" s="24" t="n">
        <v>21.3361220679184</v>
      </c>
      <c r="G7" s="24" t="n">
        <v>90977.2244976042</v>
      </c>
    </row>
    <row r="8" customFormat="false" ht="15" hidden="false" customHeight="false" outlineLevel="0" collapsed="false">
      <c r="A8" s="16" t="s">
        <v>63</v>
      </c>
      <c r="B8" s="16" t="s">
        <v>56</v>
      </c>
      <c r="C8" s="25" t="n">
        <v>5395</v>
      </c>
      <c r="D8" s="27" t="n">
        <v>23.6145733230905</v>
      </c>
      <c r="E8" s="27" t="n">
        <v>127400.623078074</v>
      </c>
      <c r="F8" s="27" t="n">
        <v>11.3665104707764</v>
      </c>
      <c r="G8" s="27" t="n">
        <v>61322.3239898385</v>
      </c>
    </row>
    <row r="9" customFormat="false" ht="15" hidden="false" customHeight="false" outlineLevel="0" collapsed="false">
      <c r="A9" s="11" t="s">
        <v>65</v>
      </c>
      <c r="B9" s="11" t="s">
        <v>55</v>
      </c>
      <c r="C9" s="23" t="n">
        <v>6031</v>
      </c>
      <c r="D9" s="24" t="n">
        <v>19.3075393337452</v>
      </c>
      <c r="E9" s="24" t="n">
        <v>116443.769721817</v>
      </c>
      <c r="F9" s="24" t="n">
        <v>8.31170291404012</v>
      </c>
      <c r="G9" s="24" t="n">
        <v>50127.880274576</v>
      </c>
    </row>
    <row r="10" customFormat="false" ht="15" hidden="false" customHeight="false" outlineLevel="0" collapsed="false">
      <c r="A10" s="16" t="s">
        <v>64</v>
      </c>
      <c r="B10" s="16" t="s">
        <v>55</v>
      </c>
      <c r="C10" s="25" t="n">
        <v>8903</v>
      </c>
      <c r="D10" s="27" t="n">
        <v>12.7012778239308</v>
      </c>
      <c r="E10" s="27" t="n">
        <v>113079.476466456</v>
      </c>
      <c r="F10" s="27" t="n">
        <v>3.11411126864444</v>
      </c>
      <c r="G10" s="27" t="n">
        <v>27724.9326247415</v>
      </c>
    </row>
    <row r="11" customFormat="false" ht="15" hidden="false" customHeight="false" outlineLevel="0" collapsed="false">
      <c r="A11" s="11" t="s">
        <v>67</v>
      </c>
      <c r="B11" s="11" t="s">
        <v>55</v>
      </c>
      <c r="C11" s="23" t="n">
        <v>5658</v>
      </c>
      <c r="D11" s="24" t="n">
        <v>18.6048566871772</v>
      </c>
      <c r="E11" s="24" t="n">
        <v>105266.279136049</v>
      </c>
      <c r="F11" s="24" t="n">
        <v>7.77210968049778</v>
      </c>
      <c r="G11" s="24" t="n">
        <v>43974.5965722565</v>
      </c>
    </row>
    <row r="12" customFormat="false" ht="15" hidden="false" customHeight="false" outlineLevel="0" collapsed="false">
      <c r="A12" s="16" t="s">
        <v>66</v>
      </c>
      <c r="B12" s="16" t="s">
        <v>55</v>
      </c>
      <c r="C12" s="25" t="n">
        <v>5856</v>
      </c>
      <c r="D12" s="27" t="n">
        <v>16.7955537684783</v>
      </c>
      <c r="E12" s="27" t="n">
        <v>98354.7628682092</v>
      </c>
      <c r="F12" s="27" t="n">
        <v>5.74409142542713</v>
      </c>
      <c r="G12" s="27" t="n">
        <v>33637.3993873013</v>
      </c>
    </row>
    <row r="13" customFormat="false" ht="15" hidden="false" customHeight="false" outlineLevel="0" collapsed="false">
      <c r="A13" s="11" t="s">
        <v>62</v>
      </c>
      <c r="B13" s="11" t="s">
        <v>57</v>
      </c>
      <c r="C13" s="23" t="n">
        <v>4339</v>
      </c>
      <c r="D13" s="24" t="n">
        <v>22.0041829268554</v>
      </c>
      <c r="E13" s="24" t="n">
        <v>95476.1497196254</v>
      </c>
      <c r="F13" s="24" t="n">
        <v>10.3250304121318</v>
      </c>
      <c r="G13" s="24" t="n">
        <v>44800.3069582397</v>
      </c>
    </row>
    <row r="14" customFormat="false" ht="15" hidden="false" customHeight="false" outlineLevel="0" collapsed="false">
      <c r="A14" s="16" t="s">
        <v>68</v>
      </c>
      <c r="B14" s="16" t="s">
        <v>55</v>
      </c>
      <c r="C14" s="25" t="n">
        <v>5608</v>
      </c>
      <c r="D14" s="27" t="n">
        <v>16.4703336929651</v>
      </c>
      <c r="E14" s="27" t="n">
        <v>92365.6313501483</v>
      </c>
      <c r="F14" s="27" t="n">
        <v>5.63455250879599</v>
      </c>
      <c r="G14" s="27" t="n">
        <v>31598.5704693279</v>
      </c>
    </row>
    <row r="15" customFormat="false" ht="15" hidden="false" customHeight="false" outlineLevel="0" collapsed="false">
      <c r="A15" s="11" t="s">
        <v>63</v>
      </c>
      <c r="B15" s="11" t="s">
        <v>58</v>
      </c>
      <c r="C15" s="23" t="n">
        <v>1483</v>
      </c>
      <c r="D15" s="24" t="n">
        <v>56.4024845044719</v>
      </c>
      <c r="E15" s="24" t="n">
        <v>83644.8845201318</v>
      </c>
      <c r="F15" s="24" t="n">
        <v>44.0648001437279</v>
      </c>
      <c r="G15" s="24" t="n">
        <v>65348.0986131485</v>
      </c>
    </row>
    <row r="16" customFormat="false" ht="15" hidden="false" customHeight="false" outlineLevel="0" collapsed="false">
      <c r="A16" s="16" t="s">
        <v>62</v>
      </c>
      <c r="B16" s="16" t="s">
        <v>56</v>
      </c>
      <c r="C16" s="25" t="n">
        <v>5403</v>
      </c>
      <c r="D16" s="27" t="n">
        <v>15.4421904981166</v>
      </c>
      <c r="E16" s="27" t="n">
        <v>83434.1552613239</v>
      </c>
      <c r="F16" s="27" t="n">
        <v>5.13079520348418</v>
      </c>
      <c r="G16" s="27" t="n">
        <v>27721.686484425</v>
      </c>
    </row>
    <row r="17" customFormat="false" ht="15" hidden="false" customHeight="false" outlineLevel="0" collapsed="false">
      <c r="A17" s="11" t="s">
        <v>72</v>
      </c>
      <c r="B17" s="11" t="s">
        <v>55</v>
      </c>
      <c r="C17" s="23" t="n">
        <v>4368</v>
      </c>
      <c r="D17" s="24" t="n">
        <v>18.9362773115774</v>
      </c>
      <c r="E17" s="24" t="n">
        <v>82713.6592969701</v>
      </c>
      <c r="F17" s="24" t="n">
        <v>8.13694893909736</v>
      </c>
      <c r="G17" s="24" t="n">
        <v>35542.1929659772</v>
      </c>
    </row>
    <row r="18" customFormat="false" ht="15" hidden="false" customHeight="false" outlineLevel="0" collapsed="false">
      <c r="A18" s="16" t="s">
        <v>71</v>
      </c>
      <c r="B18" s="16" t="s">
        <v>55</v>
      </c>
      <c r="C18" s="25" t="n">
        <v>4486</v>
      </c>
      <c r="D18" s="27" t="n">
        <v>18.353353547191</v>
      </c>
      <c r="E18" s="27" t="n">
        <v>82333.1440126986</v>
      </c>
      <c r="F18" s="27" t="n">
        <v>7.4145617092079</v>
      </c>
      <c r="G18" s="27" t="n">
        <v>33261.7238275066</v>
      </c>
    </row>
    <row r="19" customFormat="false" ht="15" hidden="false" customHeight="false" outlineLevel="0" collapsed="false">
      <c r="A19" s="11" t="s">
        <v>70</v>
      </c>
      <c r="B19" s="11" t="s">
        <v>55</v>
      </c>
      <c r="C19" s="23" t="n">
        <v>4756</v>
      </c>
      <c r="D19" s="24" t="n">
        <v>14.2953527796776</v>
      </c>
      <c r="E19" s="24" t="n">
        <v>67988.6978201465</v>
      </c>
      <c r="F19" s="24" t="n">
        <v>4.32670482242089</v>
      </c>
      <c r="G19" s="24" t="n">
        <v>20577.8081354337</v>
      </c>
    </row>
    <row r="20" customFormat="false" ht="15" hidden="false" customHeight="false" outlineLevel="0" collapsed="false">
      <c r="A20" s="16" t="s">
        <v>74</v>
      </c>
      <c r="B20" s="16" t="s">
        <v>55</v>
      </c>
      <c r="C20" s="25" t="n">
        <v>3491</v>
      </c>
      <c r="D20" s="27" t="n">
        <v>17.6021870689566</v>
      </c>
      <c r="E20" s="27" t="n">
        <v>61449.2350577274</v>
      </c>
      <c r="F20" s="27" t="n">
        <v>6.97161915127198</v>
      </c>
      <c r="G20" s="27" t="n">
        <v>24337.9224570905</v>
      </c>
    </row>
    <row r="21" customFormat="false" ht="15" hidden="false" customHeight="false" outlineLevel="0" collapsed="false">
      <c r="A21" s="11" t="s">
        <v>67</v>
      </c>
      <c r="B21" s="11" t="s">
        <v>57</v>
      </c>
      <c r="C21" s="23" t="n">
        <v>1529</v>
      </c>
      <c r="D21" s="24" t="n">
        <v>39.5830993492806</v>
      </c>
      <c r="E21" s="24" t="n">
        <v>60522.5589050501</v>
      </c>
      <c r="F21" s="24" t="n">
        <v>27.5650811905347</v>
      </c>
      <c r="G21" s="24" t="n">
        <v>42147.0091403276</v>
      </c>
    </row>
    <row r="22" customFormat="false" ht="15" hidden="false" customHeight="false" outlineLevel="0" collapsed="false">
      <c r="A22" s="16" t="s">
        <v>64</v>
      </c>
      <c r="B22" s="16" t="s">
        <v>57</v>
      </c>
      <c r="C22" s="25" t="n">
        <v>2284</v>
      </c>
      <c r="D22" s="27" t="n">
        <v>26.1895837967543</v>
      </c>
      <c r="E22" s="27" t="n">
        <v>59817.0093917868</v>
      </c>
      <c r="F22" s="27" t="n">
        <v>14.321178952426</v>
      </c>
      <c r="G22" s="27" t="n">
        <v>32709.5727273411</v>
      </c>
    </row>
    <row r="23" customFormat="false" ht="15" hidden="false" customHeight="false" outlineLevel="0" collapsed="false">
      <c r="A23" s="11" t="s">
        <v>65</v>
      </c>
      <c r="B23" s="11" t="s">
        <v>56</v>
      </c>
      <c r="C23" s="23" t="n">
        <v>2004</v>
      </c>
      <c r="D23" s="24" t="n">
        <v>28.4470549152026</v>
      </c>
      <c r="E23" s="24" t="n">
        <v>57007.898050066</v>
      </c>
      <c r="F23" s="24" t="n">
        <v>16.6730116013318</v>
      </c>
      <c r="G23" s="24" t="n">
        <v>33412.7152490689</v>
      </c>
    </row>
    <row r="24" customFormat="false" ht="15" hidden="false" customHeight="false" outlineLevel="0" collapsed="false">
      <c r="A24" s="16" t="s">
        <v>69</v>
      </c>
      <c r="B24" s="16" t="s">
        <v>55</v>
      </c>
      <c r="C24" s="25" t="n">
        <v>4984</v>
      </c>
      <c r="D24" s="27" t="n">
        <v>11.3711256008936</v>
      </c>
      <c r="E24" s="27" t="n">
        <v>56673.6899948538</v>
      </c>
      <c r="F24" s="27" t="n">
        <v>2.33963938167162</v>
      </c>
      <c r="G24" s="27" t="n">
        <v>11660.7626782514</v>
      </c>
    </row>
    <row r="25" customFormat="false" ht="15" hidden="false" customHeight="false" outlineLevel="0" collapsed="false">
      <c r="A25" s="11" t="s">
        <v>65</v>
      </c>
      <c r="B25" s="11" t="s">
        <v>57</v>
      </c>
      <c r="C25" s="23" t="n">
        <v>1343</v>
      </c>
      <c r="D25" s="24" t="n">
        <v>40.9749270109417</v>
      </c>
      <c r="E25" s="24" t="n">
        <v>55029.3269756947</v>
      </c>
      <c r="F25" s="24" t="n">
        <v>29.039063826851</v>
      </c>
      <c r="G25" s="24" t="n">
        <v>38999.4627194609</v>
      </c>
    </row>
    <row r="26" customFormat="false" ht="15" hidden="false" customHeight="false" outlineLevel="0" collapsed="false">
      <c r="A26" s="16" t="s">
        <v>64</v>
      </c>
      <c r="B26" s="16" t="s">
        <v>56</v>
      </c>
      <c r="C26" s="25" t="n">
        <v>2804</v>
      </c>
      <c r="D26" s="27" t="n">
        <v>18.3759378440971</v>
      </c>
      <c r="E26" s="27" t="n">
        <v>51526.1297148483</v>
      </c>
      <c r="F26" s="27" t="n">
        <v>7.37128710519236</v>
      </c>
      <c r="G26" s="27" t="n">
        <v>20669.0890429594</v>
      </c>
    </row>
    <row r="27" customFormat="false" ht="15" hidden="false" customHeight="false" outlineLevel="0" collapsed="false">
      <c r="A27" s="11" t="s">
        <v>68</v>
      </c>
      <c r="B27" s="11" t="s">
        <v>57</v>
      </c>
      <c r="C27" s="23" t="n">
        <v>1484</v>
      </c>
      <c r="D27" s="24" t="n">
        <v>34.7044955940209</v>
      </c>
      <c r="E27" s="24" t="n">
        <v>51501.471461527</v>
      </c>
      <c r="F27" s="24" t="n">
        <v>21.9119898021823</v>
      </c>
      <c r="G27" s="24" t="n">
        <v>32517.3928664385</v>
      </c>
    </row>
    <row r="28" customFormat="false" ht="15" hidden="false" customHeight="false" outlineLevel="0" collapsed="false">
      <c r="A28" s="16" t="s">
        <v>62</v>
      </c>
      <c r="B28" s="16" t="s">
        <v>58</v>
      </c>
      <c r="C28" s="25" t="n">
        <v>1401</v>
      </c>
      <c r="D28" s="27" t="n">
        <v>36.186175167806</v>
      </c>
      <c r="E28" s="27" t="n">
        <v>50696.8314100961</v>
      </c>
      <c r="F28" s="27" t="n">
        <v>24.3677265492415</v>
      </c>
      <c r="G28" s="27" t="n">
        <v>34139.1848954873</v>
      </c>
    </row>
    <row r="29" customFormat="false" ht="15" hidden="false" customHeight="false" outlineLevel="0" collapsed="false">
      <c r="A29" s="11" t="s">
        <v>66</v>
      </c>
      <c r="B29" s="11" t="s">
        <v>57</v>
      </c>
      <c r="C29" s="23" t="n">
        <v>1406</v>
      </c>
      <c r="D29" s="24" t="n">
        <v>35.349042930223</v>
      </c>
      <c r="E29" s="24" t="n">
        <v>49700.7543598935</v>
      </c>
      <c r="F29" s="24" t="n">
        <v>22.6270148899561</v>
      </c>
      <c r="G29" s="24" t="n">
        <v>31813.5829352783</v>
      </c>
    </row>
    <row r="30" customFormat="false" ht="15" hidden="false" customHeight="false" outlineLevel="0" collapsed="false">
      <c r="A30" s="16" t="s">
        <v>71</v>
      </c>
      <c r="B30" s="16" t="s">
        <v>57</v>
      </c>
      <c r="C30" s="25" t="n">
        <v>1267</v>
      </c>
      <c r="D30" s="27" t="n">
        <v>38.8968630668</v>
      </c>
      <c r="E30" s="27" t="n">
        <v>49282.3255056356</v>
      </c>
      <c r="F30" s="27" t="n">
        <v>26.8292071777231</v>
      </c>
      <c r="G30" s="27" t="n">
        <v>33992.6054941752</v>
      </c>
    </row>
    <row r="31" customFormat="false" ht="15" hidden="false" customHeight="false" outlineLevel="0" collapsed="false">
      <c r="A31" s="11" t="s">
        <v>67</v>
      </c>
      <c r="B31" s="11" t="s">
        <v>56</v>
      </c>
      <c r="C31" s="23" t="n">
        <v>1800</v>
      </c>
      <c r="D31" s="24" t="n">
        <v>27.3524702909397</v>
      </c>
      <c r="E31" s="24" t="n">
        <v>49234.4465236915</v>
      </c>
      <c r="F31" s="24" t="n">
        <v>15.5722359861511</v>
      </c>
      <c r="G31" s="24" t="n">
        <v>28030.024775072</v>
      </c>
    </row>
    <row r="32" customFormat="false" ht="15" hidden="false" customHeight="false" outlineLevel="0" collapsed="false">
      <c r="A32" s="16" t="s">
        <v>75</v>
      </c>
      <c r="B32" s="16" t="s">
        <v>55</v>
      </c>
      <c r="C32" s="25" t="n">
        <v>3331</v>
      </c>
      <c r="D32" s="27" t="n">
        <v>14.2806151702717</v>
      </c>
      <c r="E32" s="27" t="n">
        <v>47568.729132175</v>
      </c>
      <c r="F32" s="27" t="n">
        <v>4.43710668530216</v>
      </c>
      <c r="G32" s="27" t="n">
        <v>14780.0023687415</v>
      </c>
    </row>
    <row r="33" customFormat="false" ht="15" hidden="false" customHeight="false" outlineLevel="0" collapsed="false">
      <c r="A33" s="11" t="s">
        <v>66</v>
      </c>
      <c r="B33" s="11" t="s">
        <v>56</v>
      </c>
      <c r="C33" s="23" t="n">
        <v>1931</v>
      </c>
      <c r="D33" s="24" t="n">
        <v>24.6027711825235</v>
      </c>
      <c r="E33" s="24" t="n">
        <v>47507.9511534529</v>
      </c>
      <c r="F33" s="24" t="n">
        <v>12.1325672126133</v>
      </c>
      <c r="G33" s="24" t="n">
        <v>23427.9872875563</v>
      </c>
    </row>
    <row r="34" customFormat="false" ht="15" hidden="false" customHeight="false" outlineLevel="0" collapsed="false">
      <c r="A34" s="16" t="s">
        <v>65</v>
      </c>
      <c r="B34" s="16" t="s">
        <v>58</v>
      </c>
      <c r="C34" s="25" t="n">
        <v>645</v>
      </c>
      <c r="D34" s="27" t="n">
        <v>68.3447264206709</v>
      </c>
      <c r="E34" s="27" t="n">
        <v>44082.3485413328</v>
      </c>
      <c r="F34" s="27" t="n">
        <v>56.9809624848105</v>
      </c>
      <c r="G34" s="27" t="n">
        <v>36752.7208027028</v>
      </c>
    </row>
    <row r="35" customFormat="false" ht="15" hidden="false" customHeight="false" outlineLevel="0" collapsed="false">
      <c r="A35" s="11" t="s">
        <v>71</v>
      </c>
      <c r="B35" s="11" t="s">
        <v>56</v>
      </c>
      <c r="C35" s="23" t="n">
        <v>1548</v>
      </c>
      <c r="D35" s="24" t="n">
        <v>26.9291900397908</v>
      </c>
      <c r="E35" s="24" t="n">
        <v>41686.3861815962</v>
      </c>
      <c r="F35" s="24" t="n">
        <v>15.2023828140529</v>
      </c>
      <c r="G35" s="24" t="n">
        <v>23533.2885961538</v>
      </c>
    </row>
    <row r="36" customFormat="false" ht="15" hidden="false" customHeight="false" outlineLevel="0" collapsed="false">
      <c r="A36" s="16" t="s">
        <v>72</v>
      </c>
      <c r="B36" s="16" t="s">
        <v>57</v>
      </c>
      <c r="C36" s="25" t="n">
        <v>1034</v>
      </c>
      <c r="D36" s="27" t="n">
        <v>40.281634465928</v>
      </c>
      <c r="E36" s="27" t="n">
        <v>41651.2100377696</v>
      </c>
      <c r="F36" s="27" t="n">
        <v>27.9746348984356</v>
      </c>
      <c r="G36" s="27" t="n">
        <v>28925.7724849824</v>
      </c>
    </row>
    <row r="37" customFormat="false" ht="15" hidden="false" customHeight="false" outlineLevel="0" collapsed="false">
      <c r="A37" s="11" t="s">
        <v>78</v>
      </c>
      <c r="B37" s="11" t="s">
        <v>55</v>
      </c>
      <c r="C37" s="23" t="n">
        <v>2260</v>
      </c>
      <c r="D37" s="24" t="n">
        <v>18.2121880313242</v>
      </c>
      <c r="E37" s="24" t="n">
        <v>41159.5449507927</v>
      </c>
      <c r="F37" s="24" t="n">
        <v>7.4357276424932</v>
      </c>
      <c r="G37" s="24" t="n">
        <v>16804.7444720346</v>
      </c>
    </row>
    <row r="38" customFormat="false" ht="15" hidden="false" customHeight="false" outlineLevel="0" collapsed="false">
      <c r="A38" s="16" t="s">
        <v>68</v>
      </c>
      <c r="B38" s="16" t="s">
        <v>56</v>
      </c>
      <c r="C38" s="25" t="n">
        <v>1693</v>
      </c>
      <c r="D38" s="27" t="n">
        <v>24.0750647348858</v>
      </c>
      <c r="E38" s="27" t="n">
        <v>40759.0845961617</v>
      </c>
      <c r="F38" s="27" t="n">
        <v>11.9322417997116</v>
      </c>
      <c r="G38" s="27" t="n">
        <v>20201.2853669117</v>
      </c>
    </row>
    <row r="39" customFormat="false" ht="15" hidden="false" customHeight="false" outlineLevel="0" collapsed="false">
      <c r="A39" s="11" t="s">
        <v>77</v>
      </c>
      <c r="B39" s="11" t="s">
        <v>55</v>
      </c>
      <c r="C39" s="23" t="n">
        <v>2291</v>
      </c>
      <c r="D39" s="24" t="n">
        <v>17.3066311079815</v>
      </c>
      <c r="E39" s="24" t="n">
        <v>39649.4918683855</v>
      </c>
      <c r="F39" s="24" t="n">
        <v>6.57358302695486</v>
      </c>
      <c r="G39" s="24" t="n">
        <v>15060.0787147536</v>
      </c>
    </row>
    <row r="40" customFormat="false" ht="15" hidden="false" customHeight="false" outlineLevel="0" collapsed="false">
      <c r="A40" s="16" t="s">
        <v>72</v>
      </c>
      <c r="B40" s="16" t="s">
        <v>56</v>
      </c>
      <c r="C40" s="25" t="n">
        <v>1387</v>
      </c>
      <c r="D40" s="27" t="n">
        <v>27.8608758323216</v>
      </c>
      <c r="E40" s="27" t="n">
        <v>38643.0347794301</v>
      </c>
      <c r="F40" s="27" t="n">
        <v>15.8544728315588</v>
      </c>
      <c r="G40" s="27" t="n">
        <v>21990.1538173721</v>
      </c>
    </row>
    <row r="41" customFormat="false" ht="15" hidden="false" customHeight="false" outlineLevel="0" collapsed="false">
      <c r="A41" s="11" t="s">
        <v>74</v>
      </c>
      <c r="B41" s="11" t="s">
        <v>57</v>
      </c>
      <c r="C41" s="23" t="n">
        <v>990</v>
      </c>
      <c r="D41" s="24" t="n">
        <v>36.9385271239108</v>
      </c>
      <c r="E41" s="24" t="n">
        <v>36569.1418526717</v>
      </c>
      <c r="F41" s="24" t="n">
        <v>25.1620590128254</v>
      </c>
      <c r="G41" s="24" t="n">
        <v>24910.4384226971</v>
      </c>
    </row>
    <row r="42" customFormat="false" ht="15" hidden="false" customHeight="false" outlineLevel="0" collapsed="false">
      <c r="A42" s="16" t="s">
        <v>70</v>
      </c>
      <c r="B42" s="16" t="s">
        <v>56</v>
      </c>
      <c r="C42" s="25" t="n">
        <v>1618</v>
      </c>
      <c r="D42" s="27" t="n">
        <v>20.8706825397557</v>
      </c>
      <c r="E42" s="27" t="n">
        <v>33768.7643493247</v>
      </c>
      <c r="F42" s="27" t="n">
        <v>9.60505832308789</v>
      </c>
      <c r="G42" s="27" t="n">
        <v>15540.9843667562</v>
      </c>
    </row>
    <row r="43" customFormat="false" ht="15" hidden="false" customHeight="false" outlineLevel="0" collapsed="false">
      <c r="A43" s="11" t="s">
        <v>70</v>
      </c>
      <c r="B43" s="11" t="s">
        <v>57</v>
      </c>
      <c r="C43" s="23" t="n">
        <v>1134</v>
      </c>
      <c r="D43" s="24" t="n">
        <v>29.719878802707</v>
      </c>
      <c r="E43" s="24" t="n">
        <v>33702.3425622698</v>
      </c>
      <c r="F43" s="24" t="n">
        <v>18.0392309558831</v>
      </c>
      <c r="G43" s="24" t="n">
        <v>20456.4879039715</v>
      </c>
    </row>
    <row r="44" customFormat="false" ht="15" hidden="false" customHeight="false" outlineLevel="0" collapsed="false">
      <c r="A44" s="16" t="s">
        <v>64</v>
      </c>
      <c r="B44" s="16" t="s">
        <v>58</v>
      </c>
      <c r="C44" s="25" t="n">
        <v>776</v>
      </c>
      <c r="D44" s="27" t="n">
        <v>43.2262539570379</v>
      </c>
      <c r="E44" s="27" t="n">
        <v>33543.5730706614</v>
      </c>
      <c r="F44" s="27" t="n">
        <v>31.4909697013145</v>
      </c>
      <c r="G44" s="27" t="n">
        <v>24436.99248822</v>
      </c>
    </row>
    <row r="45" customFormat="false" ht="15" hidden="false" customHeight="false" outlineLevel="0" collapsed="false">
      <c r="A45" s="11" t="s">
        <v>76</v>
      </c>
      <c r="B45" s="11" t="s">
        <v>55</v>
      </c>
      <c r="C45" s="23" t="n">
        <v>2348</v>
      </c>
      <c r="D45" s="24" t="n">
        <v>14.2698164207644</v>
      </c>
      <c r="E45" s="24" t="n">
        <v>33505.5289559549</v>
      </c>
      <c r="F45" s="24" t="n">
        <v>4.39287282977368</v>
      </c>
      <c r="G45" s="24" t="n">
        <v>10314.4654043086</v>
      </c>
    </row>
    <row r="46" customFormat="false" ht="15" hidden="false" customHeight="false" outlineLevel="0" collapsed="false">
      <c r="A46" s="16" t="s">
        <v>73</v>
      </c>
      <c r="B46" s="16" t="s">
        <v>55</v>
      </c>
      <c r="C46" s="25" t="n">
        <v>4094</v>
      </c>
      <c r="D46" s="27" t="n">
        <v>8.13661061410814</v>
      </c>
      <c r="E46" s="27" t="n">
        <v>33311.2838541587</v>
      </c>
      <c r="F46" s="27" t="n">
        <v>0.851710884473861</v>
      </c>
      <c r="G46" s="27" t="n">
        <v>3486.90436103599</v>
      </c>
    </row>
    <row r="47" customFormat="false" ht="15" hidden="false" customHeight="false" outlineLevel="0" collapsed="false">
      <c r="A47" s="11" t="s">
        <v>79</v>
      </c>
      <c r="B47" s="11" t="s">
        <v>55</v>
      </c>
      <c r="C47" s="23" t="n">
        <v>1928</v>
      </c>
      <c r="D47" s="24" t="n">
        <v>17.2622948699298</v>
      </c>
      <c r="E47" s="24" t="n">
        <v>33281.7045092246</v>
      </c>
      <c r="F47" s="24" t="n">
        <v>6.59174208958822</v>
      </c>
      <c r="G47" s="24" t="n">
        <v>12708.8787487261</v>
      </c>
    </row>
    <row r="48" customFormat="false" ht="15" hidden="false" customHeight="false" outlineLevel="0" collapsed="false">
      <c r="A48" s="16" t="s">
        <v>68</v>
      </c>
      <c r="B48" s="16" t="s">
        <v>58</v>
      </c>
      <c r="C48" s="25" t="n">
        <v>566</v>
      </c>
      <c r="D48" s="27" t="n">
        <v>57.5342395348212</v>
      </c>
      <c r="E48" s="27" t="n">
        <v>32564.3795767088</v>
      </c>
      <c r="F48" s="27" t="n">
        <v>45.0199630567707</v>
      </c>
      <c r="G48" s="27" t="n">
        <v>25481.2990901322</v>
      </c>
    </row>
    <row r="49" customFormat="false" ht="15" hidden="false" customHeight="false" outlineLevel="0" collapsed="false">
      <c r="A49" s="11" t="s">
        <v>66</v>
      </c>
      <c r="B49" s="11" t="s">
        <v>58</v>
      </c>
      <c r="C49" s="23" t="n">
        <v>516</v>
      </c>
      <c r="D49" s="24" t="n">
        <v>58.9284187593828</v>
      </c>
      <c r="E49" s="24" t="n">
        <v>30407.0640798415</v>
      </c>
      <c r="F49" s="24" t="n">
        <v>45.9541403201447</v>
      </c>
      <c r="G49" s="24" t="n">
        <v>23712.3364051946</v>
      </c>
    </row>
    <row r="50" customFormat="false" ht="15" hidden="false" customHeight="false" outlineLevel="0" collapsed="false">
      <c r="A50" s="16" t="s">
        <v>74</v>
      </c>
      <c r="B50" s="16" t="s">
        <v>56</v>
      </c>
      <c r="C50" s="25" t="n">
        <v>1173</v>
      </c>
      <c r="D50" s="27" t="n">
        <v>25.6702112778436</v>
      </c>
      <c r="E50" s="27" t="n">
        <v>30111.1578289105</v>
      </c>
      <c r="F50" s="27" t="n">
        <v>13.9678818725493</v>
      </c>
      <c r="G50" s="27" t="n">
        <v>16384.3254365003</v>
      </c>
    </row>
    <row r="51" customFormat="false" ht="15" hidden="false" customHeight="false" outlineLevel="0" collapsed="false">
      <c r="A51" s="11" t="s">
        <v>67</v>
      </c>
      <c r="B51" s="11" t="s">
        <v>58</v>
      </c>
      <c r="C51" s="23" t="n">
        <v>449</v>
      </c>
      <c r="D51" s="24" t="n">
        <v>66.1155973430042</v>
      </c>
      <c r="E51" s="24" t="n">
        <v>29685.9032070089</v>
      </c>
      <c r="F51" s="24" t="n">
        <v>54.3474082711588</v>
      </c>
      <c r="G51" s="24" t="n">
        <v>24401.9863137503</v>
      </c>
    </row>
    <row r="52" customFormat="false" ht="15" hidden="false" customHeight="false" outlineLevel="0" collapsed="false">
      <c r="A52" s="16" t="s">
        <v>75</v>
      </c>
      <c r="B52" s="16" t="s">
        <v>57</v>
      </c>
      <c r="C52" s="25" t="n">
        <v>982</v>
      </c>
      <c r="D52" s="27" t="n">
        <v>29.8651369589589</v>
      </c>
      <c r="E52" s="27" t="n">
        <v>29327.5644936976</v>
      </c>
      <c r="F52" s="27" t="n">
        <v>18.2069296066618</v>
      </c>
      <c r="G52" s="27" t="n">
        <v>17879.2048737418</v>
      </c>
    </row>
    <row r="53" customFormat="false" ht="15" hidden="false" customHeight="false" outlineLevel="0" collapsed="false">
      <c r="A53" s="11" t="s">
        <v>69</v>
      </c>
      <c r="B53" s="11" t="s">
        <v>57</v>
      </c>
      <c r="C53" s="23" t="n">
        <v>1175</v>
      </c>
      <c r="D53" s="24" t="n">
        <v>23.4018551348263</v>
      </c>
      <c r="E53" s="24" t="n">
        <v>27497.1797834209</v>
      </c>
      <c r="F53" s="24" t="n">
        <v>11.8856623476386</v>
      </c>
      <c r="G53" s="24" t="n">
        <v>13965.6532584754</v>
      </c>
    </row>
    <row r="54" customFormat="false" ht="15" hidden="false" customHeight="false" outlineLevel="0" collapsed="false">
      <c r="A54" s="16" t="s">
        <v>72</v>
      </c>
      <c r="B54" s="16" t="s">
        <v>58</v>
      </c>
      <c r="C54" s="25" t="n">
        <v>400</v>
      </c>
      <c r="D54" s="27" t="n">
        <v>67.1716133680208</v>
      </c>
      <c r="E54" s="27" t="n">
        <v>26868.6453472083</v>
      </c>
      <c r="F54" s="27" t="n">
        <v>55.4711636959305</v>
      </c>
      <c r="G54" s="27" t="n">
        <v>22188.4654783722</v>
      </c>
    </row>
    <row r="55" customFormat="false" ht="15" hidden="false" customHeight="false" outlineLevel="0" collapsed="false">
      <c r="A55" s="11" t="s">
        <v>69</v>
      </c>
      <c r="B55" s="11" t="s">
        <v>56</v>
      </c>
      <c r="C55" s="23" t="n">
        <v>1623</v>
      </c>
      <c r="D55" s="24" t="n">
        <v>16.4431016629532</v>
      </c>
      <c r="E55" s="24" t="n">
        <v>26687.1539989731</v>
      </c>
      <c r="F55" s="24" t="n">
        <v>5.78454461137515</v>
      </c>
      <c r="G55" s="24" t="n">
        <v>9388.31590426186</v>
      </c>
    </row>
    <row r="56" customFormat="false" ht="15" hidden="false" customHeight="false" outlineLevel="0" collapsed="false">
      <c r="A56" s="16" t="s">
        <v>75</v>
      </c>
      <c r="B56" s="16" t="s">
        <v>56</v>
      </c>
      <c r="C56" s="25" t="n">
        <v>1176</v>
      </c>
      <c r="D56" s="27" t="n">
        <v>20.8831194775201</v>
      </c>
      <c r="E56" s="27" t="n">
        <v>24558.5485055636</v>
      </c>
      <c r="F56" s="27" t="n">
        <v>9.53013189772072</v>
      </c>
      <c r="G56" s="27" t="n">
        <v>11207.4351117196</v>
      </c>
    </row>
    <row r="57" customFormat="false" ht="15" hidden="false" customHeight="false" outlineLevel="0" collapsed="false">
      <c r="A57" s="11" t="s">
        <v>71</v>
      </c>
      <c r="B57" s="11" t="s">
        <v>58</v>
      </c>
      <c r="C57" s="23" t="n">
        <v>376</v>
      </c>
      <c r="D57" s="24" t="n">
        <v>64.7210850077268</v>
      </c>
      <c r="E57" s="24" t="n">
        <v>24335.1279629053</v>
      </c>
      <c r="F57" s="24" t="n">
        <v>53.593867771122</v>
      </c>
      <c r="G57" s="24" t="n">
        <v>20151.2942819419</v>
      </c>
    </row>
    <row r="58" customFormat="false" ht="15" hidden="false" customHeight="false" outlineLevel="0" collapsed="false">
      <c r="A58" s="16" t="s">
        <v>77</v>
      </c>
      <c r="B58" s="16" t="s">
        <v>57</v>
      </c>
      <c r="C58" s="25" t="n">
        <v>652</v>
      </c>
      <c r="D58" s="27" t="n">
        <v>36.2462360505598</v>
      </c>
      <c r="E58" s="27" t="n">
        <v>23632.545904965</v>
      </c>
      <c r="F58" s="27" t="n">
        <v>24.2114358050816</v>
      </c>
      <c r="G58" s="27" t="n">
        <v>15785.8561449132</v>
      </c>
    </row>
    <row r="59" customFormat="false" ht="15" hidden="false" customHeight="false" outlineLevel="0" collapsed="false">
      <c r="A59" s="11" t="s">
        <v>70</v>
      </c>
      <c r="B59" s="11" t="s">
        <v>58</v>
      </c>
      <c r="C59" s="23" t="n">
        <v>416</v>
      </c>
      <c r="D59" s="24" t="n">
        <v>49.2780405480866</v>
      </c>
      <c r="E59" s="24" t="n">
        <v>20499.664868004</v>
      </c>
      <c r="F59" s="24" t="n">
        <v>37.7531162764875</v>
      </c>
      <c r="G59" s="24" t="n">
        <v>15705.2963710188</v>
      </c>
    </row>
    <row r="60" customFormat="false" ht="15" hidden="false" customHeight="false" outlineLevel="0" collapsed="false">
      <c r="A60" s="16" t="s">
        <v>80</v>
      </c>
      <c r="B60" s="16" t="s">
        <v>55</v>
      </c>
      <c r="C60" s="25" t="n">
        <v>1102</v>
      </c>
      <c r="D60" s="27" t="n">
        <v>18.5163784634305</v>
      </c>
      <c r="E60" s="27" t="n">
        <v>20405.0490667004</v>
      </c>
      <c r="F60" s="27" t="n">
        <v>7.19763856667099</v>
      </c>
      <c r="G60" s="27" t="n">
        <v>7931.79770047143</v>
      </c>
    </row>
    <row r="61" customFormat="false" ht="15" hidden="false" customHeight="false" outlineLevel="0" collapsed="false">
      <c r="A61" s="11" t="s">
        <v>78</v>
      </c>
      <c r="B61" s="11" t="s">
        <v>56</v>
      </c>
      <c r="C61" s="23" t="n">
        <v>733</v>
      </c>
      <c r="D61" s="24" t="n">
        <v>26.5755150806769</v>
      </c>
      <c r="E61" s="24" t="n">
        <v>19479.8525541362</v>
      </c>
      <c r="F61" s="24" t="n">
        <v>14.6557236091779</v>
      </c>
      <c r="G61" s="24" t="n">
        <v>10742.6454055274</v>
      </c>
    </row>
    <row r="62" customFormat="false" ht="15" hidden="false" customHeight="false" outlineLevel="0" collapsed="false">
      <c r="A62" s="16" t="s">
        <v>77</v>
      </c>
      <c r="B62" s="16" t="s">
        <v>56</v>
      </c>
      <c r="C62" s="25" t="n">
        <v>761</v>
      </c>
      <c r="D62" s="27" t="n">
        <v>25.3032955489356</v>
      </c>
      <c r="E62" s="27" t="n">
        <v>19255.80791274</v>
      </c>
      <c r="F62" s="27" t="n">
        <v>13.6167719513699</v>
      </c>
      <c r="G62" s="27" t="n">
        <v>10362.3634549925</v>
      </c>
    </row>
    <row r="63" customFormat="false" ht="15" hidden="false" customHeight="false" outlineLevel="0" collapsed="false">
      <c r="A63" s="11" t="s">
        <v>81</v>
      </c>
      <c r="B63" s="11" t="s">
        <v>55</v>
      </c>
      <c r="C63" s="23" t="n">
        <v>991</v>
      </c>
      <c r="D63" s="24" t="n">
        <v>18.8909199490878</v>
      </c>
      <c r="E63" s="24" t="n">
        <v>18720.9016695461</v>
      </c>
      <c r="F63" s="24" t="n">
        <v>7.97301955736781</v>
      </c>
      <c r="G63" s="24" t="n">
        <v>7901.2623813515</v>
      </c>
    </row>
    <row r="64" customFormat="false" ht="15" hidden="false" customHeight="false" outlineLevel="0" collapsed="false">
      <c r="A64" s="16" t="s">
        <v>78</v>
      </c>
      <c r="B64" s="16" t="s">
        <v>57</v>
      </c>
      <c r="C64" s="25" t="n">
        <v>463</v>
      </c>
      <c r="D64" s="27" t="n">
        <v>38.547860855465</v>
      </c>
      <c r="E64" s="27" t="n">
        <v>17847.6595760803</v>
      </c>
      <c r="F64" s="27" t="n">
        <v>26.9286351362645</v>
      </c>
      <c r="G64" s="27" t="n">
        <v>12467.9580680905</v>
      </c>
    </row>
    <row r="65" customFormat="false" ht="15" hidden="false" customHeight="false" outlineLevel="0" collapsed="false">
      <c r="A65" s="11" t="s">
        <v>76</v>
      </c>
      <c r="B65" s="11" t="s">
        <v>57</v>
      </c>
      <c r="C65" s="23" t="n">
        <v>595</v>
      </c>
      <c r="D65" s="24" t="n">
        <v>29.8482548610503</v>
      </c>
      <c r="E65" s="24" t="n">
        <v>17759.7116423249</v>
      </c>
      <c r="F65" s="24" t="n">
        <v>17.6300492444005</v>
      </c>
      <c r="G65" s="24" t="n">
        <v>10489.8793004183</v>
      </c>
    </row>
    <row r="66" customFormat="false" ht="15" hidden="false" customHeight="false" outlineLevel="0" collapsed="false">
      <c r="A66" s="16" t="s">
        <v>79</v>
      </c>
      <c r="B66" s="16" t="s">
        <v>57</v>
      </c>
      <c r="C66" s="25" t="n">
        <v>481</v>
      </c>
      <c r="D66" s="27" t="n">
        <v>36.2899517793996</v>
      </c>
      <c r="E66" s="27" t="n">
        <v>17455.4668058912</v>
      </c>
      <c r="F66" s="27" t="n">
        <v>24.4354633865156</v>
      </c>
      <c r="G66" s="27" t="n">
        <v>11753.457888914</v>
      </c>
    </row>
    <row r="67" customFormat="false" ht="15" hidden="false" customHeight="false" outlineLevel="0" collapsed="false">
      <c r="A67" s="11" t="s">
        <v>73</v>
      </c>
      <c r="B67" s="11" t="s">
        <v>57</v>
      </c>
      <c r="C67" s="23" t="n">
        <v>1068</v>
      </c>
      <c r="D67" s="24" t="n">
        <v>16.2692526088955</v>
      </c>
      <c r="E67" s="24" t="n">
        <v>17375.5617863004</v>
      </c>
      <c r="F67" s="24" t="n">
        <v>5.95193693040504</v>
      </c>
      <c r="G67" s="24" t="n">
        <v>6356.66864167258</v>
      </c>
    </row>
    <row r="68" customFormat="false" ht="15" hidden="false" customHeight="false" outlineLevel="0" collapsed="false">
      <c r="A68" s="16" t="s">
        <v>69</v>
      </c>
      <c r="B68" s="16" t="s">
        <v>58</v>
      </c>
      <c r="C68" s="25" t="n">
        <v>448</v>
      </c>
      <c r="D68" s="27" t="n">
        <v>38.5160626521724</v>
      </c>
      <c r="E68" s="27" t="n">
        <v>17255.1960681732</v>
      </c>
      <c r="F68" s="27" t="n">
        <v>26.6479097376523</v>
      </c>
      <c r="G68" s="27" t="n">
        <v>11938.2635624682</v>
      </c>
    </row>
    <row r="69" customFormat="false" ht="15" hidden="false" customHeight="false" outlineLevel="0" collapsed="false">
      <c r="A69" s="11" t="s">
        <v>76</v>
      </c>
      <c r="B69" s="11" t="s">
        <v>56</v>
      </c>
      <c r="C69" s="23" t="n">
        <v>819</v>
      </c>
      <c r="D69" s="24" t="n">
        <v>20.8425910833369</v>
      </c>
      <c r="E69" s="24" t="n">
        <v>17070.0820972529</v>
      </c>
      <c r="F69" s="24" t="n">
        <v>10.1147858349486</v>
      </c>
      <c r="G69" s="24" t="n">
        <v>8284.00959882287</v>
      </c>
    </row>
    <row r="70" customFormat="false" ht="15" hidden="false" customHeight="false" outlineLevel="0" collapsed="false">
      <c r="A70" s="16" t="s">
        <v>74</v>
      </c>
      <c r="B70" s="16" t="s">
        <v>58</v>
      </c>
      <c r="C70" s="25" t="n">
        <v>271</v>
      </c>
      <c r="D70" s="27" t="n">
        <v>61.1780706801046</v>
      </c>
      <c r="E70" s="27" t="n">
        <v>16579.2571543084</v>
      </c>
      <c r="F70" s="27" t="n">
        <v>49.1426969820722</v>
      </c>
      <c r="G70" s="27" t="n">
        <v>13317.6708821416</v>
      </c>
    </row>
    <row r="71" customFormat="false" ht="15" hidden="false" customHeight="false" outlineLevel="0" collapsed="false">
      <c r="A71" s="11" t="s">
        <v>75</v>
      </c>
      <c r="B71" s="11" t="s">
        <v>58</v>
      </c>
      <c r="C71" s="23" t="n">
        <v>315</v>
      </c>
      <c r="D71" s="24" t="n">
        <v>49.3458115246651</v>
      </c>
      <c r="E71" s="24" t="n">
        <v>15543.9306302695</v>
      </c>
      <c r="F71" s="24" t="n">
        <v>37.5514570014418</v>
      </c>
      <c r="G71" s="24" t="n">
        <v>11828.7089554542</v>
      </c>
    </row>
    <row r="72" customFormat="false" ht="15" hidden="false" customHeight="false" outlineLevel="0" collapsed="false">
      <c r="A72" s="16" t="s">
        <v>79</v>
      </c>
      <c r="B72" s="16" t="s">
        <v>56</v>
      </c>
      <c r="C72" s="25" t="n">
        <v>612</v>
      </c>
      <c r="D72" s="27" t="n">
        <v>25.2203280022403</v>
      </c>
      <c r="E72" s="27" t="n">
        <v>15434.8407373711</v>
      </c>
      <c r="F72" s="27" t="n">
        <v>13.626694331311</v>
      </c>
      <c r="G72" s="27" t="n">
        <v>8339.53693076235</v>
      </c>
    </row>
    <row r="73" customFormat="false" ht="15" hidden="false" customHeight="false" outlineLevel="0" collapsed="false">
      <c r="A73" s="11" t="s">
        <v>73</v>
      </c>
      <c r="B73" s="11" t="s">
        <v>56</v>
      </c>
      <c r="C73" s="23" t="n">
        <v>1263</v>
      </c>
      <c r="D73" s="24" t="n">
        <v>11.5205792625806</v>
      </c>
      <c r="E73" s="24" t="n">
        <v>14550.4916086393</v>
      </c>
      <c r="F73" s="24" t="n">
        <v>2.46638513289144</v>
      </c>
      <c r="G73" s="24" t="n">
        <v>3115.04442284189</v>
      </c>
    </row>
    <row r="74" customFormat="false" ht="15" hidden="false" customHeight="false" outlineLevel="0" collapsed="false">
      <c r="A74" s="16" t="s">
        <v>78</v>
      </c>
      <c r="B74" s="16" t="s">
        <v>58</v>
      </c>
      <c r="C74" s="25" t="n">
        <v>223</v>
      </c>
      <c r="D74" s="27" t="n">
        <v>64.0599292516572</v>
      </c>
      <c r="E74" s="27" t="n">
        <v>14285.3642231196</v>
      </c>
      <c r="F74" s="27" t="n">
        <v>51.1514994431269</v>
      </c>
      <c r="G74" s="27" t="n">
        <v>11406.7843758173</v>
      </c>
    </row>
    <row r="75" customFormat="false" ht="15" hidden="false" customHeight="false" outlineLevel="0" collapsed="false">
      <c r="A75" s="11" t="s">
        <v>82</v>
      </c>
      <c r="B75" s="11" t="s">
        <v>55</v>
      </c>
      <c r="C75" s="23" t="n">
        <v>729</v>
      </c>
      <c r="D75" s="24" t="n">
        <v>18.2103477038658</v>
      </c>
      <c r="E75" s="24" t="n">
        <v>13275.3434761182</v>
      </c>
      <c r="F75" s="24" t="n">
        <v>7.43614846251133</v>
      </c>
      <c r="G75" s="24" t="n">
        <v>5420.95222917076</v>
      </c>
    </row>
    <row r="76" customFormat="false" ht="15" hidden="false" customHeight="false" outlineLevel="0" collapsed="false">
      <c r="A76" s="16" t="s">
        <v>81</v>
      </c>
      <c r="B76" s="16" t="s">
        <v>57</v>
      </c>
      <c r="C76" s="25" t="n">
        <v>296</v>
      </c>
      <c r="D76" s="27" t="n">
        <v>39.7471903390194</v>
      </c>
      <c r="E76" s="27" t="n">
        <v>11765.1683403498</v>
      </c>
      <c r="F76" s="27" t="n">
        <v>28.3378961902681</v>
      </c>
      <c r="G76" s="27" t="n">
        <v>8388.01727231935</v>
      </c>
    </row>
    <row r="77" customFormat="false" ht="15" hidden="false" customHeight="false" outlineLevel="0" collapsed="false">
      <c r="A77" s="11" t="s">
        <v>79</v>
      </c>
      <c r="B77" s="11" t="s">
        <v>58</v>
      </c>
      <c r="C77" s="23" t="n">
        <v>191</v>
      </c>
      <c r="D77" s="24" t="n">
        <v>60.0792301941597</v>
      </c>
      <c r="E77" s="24" t="n">
        <v>11475.1329670845</v>
      </c>
      <c r="F77" s="24" t="n">
        <v>48.8103441039597</v>
      </c>
      <c r="G77" s="24" t="n">
        <v>9322.7757238563</v>
      </c>
    </row>
    <row r="78" customFormat="false" ht="15" hidden="false" customHeight="false" outlineLevel="0" collapsed="false">
      <c r="A78" s="16" t="s">
        <v>76</v>
      </c>
      <c r="B78" s="16" t="s">
        <v>58</v>
      </c>
      <c r="C78" s="25" t="n">
        <v>230</v>
      </c>
      <c r="D78" s="27" t="n">
        <v>49.3025348126395</v>
      </c>
      <c r="E78" s="27" t="n">
        <v>11339.5830069071</v>
      </c>
      <c r="F78" s="27" t="n">
        <v>37.6537406558187</v>
      </c>
      <c r="G78" s="27" t="n">
        <v>8660.36035083829</v>
      </c>
    </row>
    <row r="79" customFormat="false" ht="15" hidden="false" customHeight="false" outlineLevel="0" collapsed="false">
      <c r="A79" s="11" t="s">
        <v>73</v>
      </c>
      <c r="B79" s="11" t="s">
        <v>58</v>
      </c>
      <c r="C79" s="23" t="n">
        <v>416</v>
      </c>
      <c r="D79" s="24" t="n">
        <v>26.5490145713331</v>
      </c>
      <c r="E79" s="24" t="n">
        <v>11044.3900616746</v>
      </c>
      <c r="F79" s="24" t="n">
        <v>14.8665931539754</v>
      </c>
      <c r="G79" s="24" t="n">
        <v>6184.50275205375</v>
      </c>
    </row>
    <row r="80" customFormat="false" ht="15" hidden="false" customHeight="false" outlineLevel="0" collapsed="false">
      <c r="A80" s="16" t="s">
        <v>80</v>
      </c>
      <c r="B80" s="16" t="s">
        <v>57</v>
      </c>
      <c r="C80" s="25" t="n">
        <v>275</v>
      </c>
      <c r="D80" s="27" t="n">
        <v>39.186383951488</v>
      </c>
      <c r="E80" s="27" t="n">
        <v>10776.2555866592</v>
      </c>
      <c r="F80" s="27" t="n">
        <v>27.1538440828829</v>
      </c>
      <c r="G80" s="27" t="n">
        <v>7467.3071227928</v>
      </c>
    </row>
    <row r="81" customFormat="false" ht="15" hidden="false" customHeight="false" outlineLevel="0" collapsed="false">
      <c r="A81" s="11" t="s">
        <v>77</v>
      </c>
      <c r="B81" s="11" t="s">
        <v>58</v>
      </c>
      <c r="C81" s="23" t="n">
        <v>178</v>
      </c>
      <c r="D81" s="24" t="n">
        <v>60.1819857302208</v>
      </c>
      <c r="E81" s="24" t="n">
        <v>10712.3934599793</v>
      </c>
      <c r="F81" s="24" t="n">
        <v>49.4002990223612</v>
      </c>
      <c r="G81" s="24" t="n">
        <v>8793.25322598029</v>
      </c>
    </row>
    <row r="82" customFormat="false" ht="15" hidden="false" customHeight="false" outlineLevel="0" collapsed="false">
      <c r="A82" s="16" t="s">
        <v>80</v>
      </c>
      <c r="B82" s="16" t="s">
        <v>56</v>
      </c>
      <c r="C82" s="25" t="n">
        <v>362</v>
      </c>
      <c r="D82" s="27" t="n">
        <v>27.0375723576529</v>
      </c>
      <c r="E82" s="27" t="n">
        <v>9787.60119347036</v>
      </c>
      <c r="F82" s="27" t="n">
        <v>15.0939485679339</v>
      </c>
      <c r="G82" s="27" t="n">
        <v>5464.00938159207</v>
      </c>
    </row>
    <row r="83" customFormat="false" ht="15" hidden="false" customHeight="false" outlineLevel="0" collapsed="false">
      <c r="A83" s="11" t="s">
        <v>81</v>
      </c>
      <c r="B83" s="11" t="s">
        <v>56</v>
      </c>
      <c r="C83" s="23" t="n">
        <v>294</v>
      </c>
      <c r="D83" s="24" t="n">
        <v>27.6508335261418</v>
      </c>
      <c r="E83" s="24" t="n">
        <v>8129.34505668569</v>
      </c>
      <c r="F83" s="24" t="n">
        <v>16.0853800974067</v>
      </c>
      <c r="G83" s="24" t="n">
        <v>4729.10174863757</v>
      </c>
    </row>
    <row r="84" customFormat="false" ht="15" hidden="false" customHeight="false" outlineLevel="0" collapsed="false">
      <c r="A84" s="16" t="s">
        <v>82</v>
      </c>
      <c r="B84" s="16" t="s">
        <v>57</v>
      </c>
      <c r="C84" s="25" t="n">
        <v>191</v>
      </c>
      <c r="D84" s="27" t="n">
        <v>38.2933500013377</v>
      </c>
      <c r="E84" s="27" t="n">
        <v>7314.0298502555</v>
      </c>
      <c r="F84" s="27" t="n">
        <v>26.9118021145063</v>
      </c>
      <c r="G84" s="27" t="n">
        <v>5140.1542038707</v>
      </c>
    </row>
    <row r="85" customFormat="false" ht="15" hidden="false" customHeight="false" outlineLevel="0" collapsed="false">
      <c r="A85" s="11" t="s">
        <v>80</v>
      </c>
      <c r="B85" s="11" t="s">
        <v>58</v>
      </c>
      <c r="C85" s="23" t="n">
        <v>95</v>
      </c>
      <c r="D85" s="24" t="n">
        <v>64.851924047794</v>
      </c>
      <c r="E85" s="24" t="n">
        <v>6160.93278454043</v>
      </c>
      <c r="F85" s="24" t="n">
        <v>53.7406185809708</v>
      </c>
      <c r="G85" s="24" t="n">
        <v>5105.35876519223</v>
      </c>
    </row>
    <row r="86" customFormat="false" ht="15" hidden="false" customHeight="false" outlineLevel="0" collapsed="false">
      <c r="A86" s="16" t="s">
        <v>83</v>
      </c>
      <c r="B86" s="16" t="s">
        <v>55</v>
      </c>
      <c r="C86" s="25" t="n">
        <v>575</v>
      </c>
      <c r="D86" s="27" t="n">
        <v>10.2063443368397</v>
      </c>
      <c r="E86" s="27" t="n">
        <v>5868.64799368284</v>
      </c>
      <c r="F86" s="27" t="n">
        <v>1.6571545734496</v>
      </c>
      <c r="G86" s="27" t="n">
        <v>952.86387973352</v>
      </c>
    </row>
    <row r="87" customFormat="false" ht="15" hidden="false" customHeight="false" outlineLevel="0" collapsed="false">
      <c r="A87" s="11" t="s">
        <v>84</v>
      </c>
      <c r="B87" s="11" t="s">
        <v>55</v>
      </c>
      <c r="C87" s="23" t="n">
        <v>307</v>
      </c>
      <c r="D87" s="24" t="n">
        <v>17.8265983725804</v>
      </c>
      <c r="E87" s="24" t="n">
        <v>5472.76570038219</v>
      </c>
      <c r="F87" s="24" t="n">
        <v>6.82392246141356</v>
      </c>
      <c r="G87" s="24" t="n">
        <v>2094.94419565396</v>
      </c>
    </row>
    <row r="88" customFormat="false" ht="15" hidden="false" customHeight="false" outlineLevel="0" collapsed="false">
      <c r="A88" s="16" t="s">
        <v>81</v>
      </c>
      <c r="B88" s="16" t="s">
        <v>58</v>
      </c>
      <c r="C88" s="25" t="n">
        <v>76</v>
      </c>
      <c r="D88" s="27" t="n">
        <v>66.2865974111863</v>
      </c>
      <c r="E88" s="27" t="n">
        <v>5037.78140325016</v>
      </c>
      <c r="F88" s="27" t="n">
        <v>54.3631761369889</v>
      </c>
      <c r="G88" s="27" t="n">
        <v>4131.60138641116</v>
      </c>
    </row>
    <row r="89" customFormat="false" ht="15" hidden="false" customHeight="false" outlineLevel="0" collapsed="false">
      <c r="A89" s="11" t="s">
        <v>82</v>
      </c>
      <c r="B89" s="11" t="s">
        <v>58</v>
      </c>
      <c r="C89" s="23" t="n">
        <v>75</v>
      </c>
      <c r="D89" s="24" t="n">
        <v>63.4934161583983</v>
      </c>
      <c r="E89" s="24" t="n">
        <v>4762.00621187987</v>
      </c>
      <c r="F89" s="24" t="n">
        <v>50.7907119041583</v>
      </c>
      <c r="G89" s="24" t="n">
        <v>3809.30339281187</v>
      </c>
    </row>
    <row r="90" customFormat="false" ht="15" hidden="false" customHeight="false" outlineLevel="0" collapsed="false">
      <c r="A90" s="16" t="s">
        <v>84</v>
      </c>
      <c r="B90" s="16" t="s">
        <v>58</v>
      </c>
      <c r="C90" s="25" t="n">
        <v>64</v>
      </c>
      <c r="D90" s="27" t="n">
        <v>62.5750799514192</v>
      </c>
      <c r="E90" s="27" t="n">
        <v>4004.80511689083</v>
      </c>
      <c r="F90" s="27" t="n">
        <v>51.2327828788879</v>
      </c>
      <c r="G90" s="27" t="n">
        <v>3278.89810424883</v>
      </c>
    </row>
    <row r="91" customFormat="false" ht="15" hidden="false" customHeight="false" outlineLevel="0" collapsed="false">
      <c r="A91" s="11" t="s">
        <v>82</v>
      </c>
      <c r="B91" s="11" t="s">
        <v>56</v>
      </c>
      <c r="C91" s="23" t="n">
        <v>148</v>
      </c>
      <c r="D91" s="24" t="n">
        <v>26.694830482079</v>
      </c>
      <c r="E91" s="24" t="n">
        <v>3950.83491134769</v>
      </c>
      <c r="F91" s="24" t="n">
        <v>14.9310088662443</v>
      </c>
      <c r="G91" s="24" t="n">
        <v>2209.78931220416</v>
      </c>
    </row>
    <row r="92" customFormat="false" ht="15" hidden="false" customHeight="false" outlineLevel="0" collapsed="false">
      <c r="A92" s="16" t="s">
        <v>83</v>
      </c>
      <c r="B92" s="16" t="s">
        <v>57</v>
      </c>
      <c r="C92" s="25" t="n">
        <v>184</v>
      </c>
      <c r="D92" s="27" t="n">
        <v>20.5039776309918</v>
      </c>
      <c r="E92" s="27" t="n">
        <v>3772.73188410249</v>
      </c>
      <c r="F92" s="27" t="n">
        <v>9.86718139840203</v>
      </c>
      <c r="G92" s="27" t="n">
        <v>1815.56137730597</v>
      </c>
    </row>
    <row r="93" customFormat="false" ht="15" hidden="false" customHeight="false" outlineLevel="0" collapsed="false">
      <c r="A93" s="11" t="s">
        <v>84</v>
      </c>
      <c r="B93" s="11" t="s">
        <v>56</v>
      </c>
      <c r="C93" s="23" t="n">
        <v>117</v>
      </c>
      <c r="D93" s="24" t="n">
        <v>26.139180007606</v>
      </c>
      <c r="E93" s="24" t="n">
        <v>3058.2840608899</v>
      </c>
      <c r="F93" s="24" t="n">
        <v>14.3944230690167</v>
      </c>
      <c r="G93" s="24" t="n">
        <v>1684.14749907495</v>
      </c>
    </row>
    <row r="94" customFormat="false" ht="15" hidden="false" customHeight="false" outlineLevel="0" collapsed="false">
      <c r="A94" s="16" t="s">
        <v>83</v>
      </c>
      <c r="B94" s="16" t="s">
        <v>56</v>
      </c>
      <c r="C94" s="25" t="n">
        <v>166</v>
      </c>
      <c r="D94" s="27" t="n">
        <v>14.5669080056462</v>
      </c>
      <c r="E94" s="27" t="n">
        <v>2418.10672893727</v>
      </c>
      <c r="F94" s="27" t="n">
        <v>4.66083269683828</v>
      </c>
      <c r="G94" s="27" t="n">
        <v>773.698227675155</v>
      </c>
    </row>
    <row r="95" customFormat="false" ht="15" hidden="false" customHeight="false" outlineLevel="0" collapsed="false">
      <c r="A95" s="11" t="s">
        <v>84</v>
      </c>
      <c r="B95" s="11" t="s">
        <v>57</v>
      </c>
      <c r="C95" s="23" t="n">
        <v>63</v>
      </c>
      <c r="D95" s="24" t="n">
        <v>37.8471839716211</v>
      </c>
      <c r="E95" s="24" t="n">
        <v>2384.37259021213</v>
      </c>
      <c r="F95" s="24" t="n">
        <v>26.512545670383</v>
      </c>
      <c r="G95" s="24" t="n">
        <v>1670.29037723413</v>
      </c>
    </row>
    <row r="96" customFormat="false" ht="15" hidden="false" customHeight="false" outlineLevel="0" collapsed="false">
      <c r="A96" s="16" t="s">
        <v>83</v>
      </c>
      <c r="B96" s="16" t="s">
        <v>58</v>
      </c>
      <c r="C96" s="25" t="n">
        <v>33</v>
      </c>
      <c r="D96" s="27" t="n">
        <v>33.8810112364882</v>
      </c>
      <c r="E96" s="27" t="n">
        <v>1118.07337080411</v>
      </c>
      <c r="F96" s="27" t="n">
        <v>20.7646473708882</v>
      </c>
      <c r="G96" s="27" t="n">
        <v>685.233363239311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4" customFormat="false" ht="26.85" hidden="false" customHeight="false" outlineLevel="0" collapsed="false">
      <c r="A4" s="10" t="s">
        <v>87</v>
      </c>
      <c r="B4" s="10" t="s">
        <v>48</v>
      </c>
      <c r="C4" s="10" t="s">
        <v>93</v>
      </c>
      <c r="D4" s="10" t="s">
        <v>94</v>
      </c>
      <c r="E4" s="10" t="s">
        <v>95</v>
      </c>
      <c r="F4" s="10" t="s">
        <v>96</v>
      </c>
      <c r="G4" s="10" t="s">
        <v>97</v>
      </c>
    </row>
    <row r="5" customFormat="false" ht="15" hidden="false" customHeight="false" outlineLevel="0" collapsed="false">
      <c r="A5" s="11" t="s">
        <v>57</v>
      </c>
      <c r="B5" s="12" t="n">
        <v>27499</v>
      </c>
      <c r="C5" s="12" t="n">
        <v>0</v>
      </c>
      <c r="D5" s="13" t="n">
        <v>1</v>
      </c>
      <c r="E5" s="13" t="n">
        <v>2</v>
      </c>
      <c r="F5" s="13" t="n">
        <v>1</v>
      </c>
      <c r="G5" s="15" t="n">
        <f aca="false">C5/B5</f>
        <v>0</v>
      </c>
    </row>
    <row r="6" customFormat="false" ht="15" hidden="false" customHeight="false" outlineLevel="0" collapsed="false">
      <c r="A6" s="16" t="s">
        <v>58</v>
      </c>
      <c r="B6" s="17" t="n">
        <v>9643</v>
      </c>
      <c r="C6" s="17" t="n">
        <v>5022</v>
      </c>
      <c r="D6" s="18" t="n">
        <v>0</v>
      </c>
      <c r="E6" s="18" t="n">
        <v>0.48</v>
      </c>
      <c r="F6" s="18" t="n">
        <v>0.48</v>
      </c>
      <c r="G6" s="15" t="n">
        <f aca="false">C6/B6</f>
        <v>0.520792284558747</v>
      </c>
    </row>
    <row r="7" customFormat="false" ht="15" hidden="false" customHeight="false" outlineLevel="0" collapsed="false">
      <c r="A7" s="11" t="s">
        <v>56</v>
      </c>
      <c r="B7" s="12" t="n">
        <v>34830</v>
      </c>
      <c r="C7" s="12" t="n">
        <v>7057</v>
      </c>
      <c r="D7" s="13" t="n">
        <v>2</v>
      </c>
      <c r="E7" s="13" t="n">
        <v>3.99</v>
      </c>
      <c r="F7" s="13" t="n">
        <v>1.99</v>
      </c>
      <c r="G7" s="15" t="n">
        <f aca="false">C7/B7</f>
        <v>0.202612690209589</v>
      </c>
    </row>
    <row r="8" customFormat="false" ht="15" hidden="false" customHeight="false" outlineLevel="0" collapsed="false">
      <c r="A8" s="16" t="s">
        <v>55</v>
      </c>
      <c r="B8" s="17" t="n">
        <v>106654</v>
      </c>
      <c r="C8" s="17" t="n">
        <v>64229</v>
      </c>
      <c r="D8" s="18" t="n">
        <v>4</v>
      </c>
      <c r="E8" s="18" t="n">
        <v>4</v>
      </c>
      <c r="F8" s="18" t="n">
        <v>0</v>
      </c>
      <c r="G8" s="15" t="n">
        <f aca="false">C8/B8</f>
        <v>0.602218388433627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28" t="s">
        <v>100</v>
      </c>
    </row>
    <row r="5" customFormat="false" ht="26.85" hidden="false" customHeight="false" outlineLevel="0" collapsed="false">
      <c r="A5" s="10" t="s">
        <v>61</v>
      </c>
      <c r="B5" s="10" t="s">
        <v>101</v>
      </c>
      <c r="C5" s="10" t="s">
        <v>102</v>
      </c>
      <c r="D5" s="10" t="s">
        <v>103</v>
      </c>
    </row>
    <row r="6" customFormat="false" ht="15" hidden="false" customHeight="false" outlineLevel="0" collapsed="false">
      <c r="A6" s="11" t="s">
        <v>63</v>
      </c>
      <c r="B6" s="12" t="n">
        <v>1242</v>
      </c>
      <c r="C6" s="29" t="n">
        <v>28821.24</v>
      </c>
      <c r="D6" s="15" t="n">
        <f aca="false">B6/SUM(B6:B28)</f>
        <v>0.16017539334537</v>
      </c>
    </row>
    <row r="7" customFormat="false" ht="15" hidden="false" customHeight="false" outlineLevel="0" collapsed="false">
      <c r="A7" s="16" t="s">
        <v>62</v>
      </c>
      <c r="B7" s="17" t="n">
        <v>1167</v>
      </c>
      <c r="C7" s="30" t="n">
        <v>17531.82</v>
      </c>
      <c r="D7" s="26" t="n">
        <f aca="false">D6+B7/SUM(B6:B28)</f>
        <v>0.310678359556358</v>
      </c>
    </row>
    <row r="8" customFormat="false" ht="15" hidden="false" customHeight="false" outlineLevel="0" collapsed="false">
      <c r="A8" s="11" t="s">
        <v>64</v>
      </c>
      <c r="B8" s="12" t="n">
        <v>751</v>
      </c>
      <c r="C8" s="29" t="n">
        <v>13404.69</v>
      </c>
      <c r="D8" s="15" t="n">
        <f aca="false">D7+B8/SUM(B6:B28)</f>
        <v>0.407531596595306</v>
      </c>
    </row>
    <row r="9" customFormat="false" ht="15" hidden="false" customHeight="false" outlineLevel="0" collapsed="false">
      <c r="A9" s="16" t="s">
        <v>65</v>
      </c>
      <c r="B9" s="17" t="n">
        <v>415</v>
      </c>
      <c r="C9" s="30" t="n">
        <v>12511.1</v>
      </c>
      <c r="D9" s="26" t="n">
        <f aca="false">D8+B9/SUM(B6:B28)</f>
        <v>0.461052360072221</v>
      </c>
    </row>
    <row r="10" customFormat="false" ht="15" hidden="false" customHeight="false" outlineLevel="0" collapsed="false">
      <c r="A10" s="11" t="s">
        <v>67</v>
      </c>
      <c r="B10" s="12" t="n">
        <v>403</v>
      </c>
      <c r="C10" s="29" t="n">
        <v>10933.91</v>
      </c>
      <c r="D10" s="15" t="n">
        <f aca="false">D9+B10/SUM(B6:B28)</f>
        <v>0.513025535207635</v>
      </c>
    </row>
    <row r="11" customFormat="false" ht="15" hidden="false" customHeight="false" outlineLevel="0" collapsed="false">
      <c r="A11" s="16" t="s">
        <v>68</v>
      </c>
      <c r="B11" s="17" t="n">
        <v>401</v>
      </c>
      <c r="C11" s="30" t="n">
        <v>9298.81</v>
      </c>
      <c r="D11" s="26" t="n">
        <f aca="false">D10+B11/SUM(B6:B28)</f>
        <v>0.564740778952799</v>
      </c>
    </row>
    <row r="12" customFormat="false" ht="15" hidden="false" customHeight="false" outlineLevel="0" collapsed="false">
      <c r="A12" s="11" t="s">
        <v>70</v>
      </c>
      <c r="B12" s="12" t="n">
        <v>398</v>
      </c>
      <c r="C12" s="29" t="n">
        <v>7857.52</v>
      </c>
      <c r="D12" s="15" t="n">
        <f aca="false">D11+B12/SUM(B6:B28)</f>
        <v>0.616069125612587</v>
      </c>
    </row>
    <row r="13" customFormat="false" ht="15" hidden="false" customHeight="false" outlineLevel="0" collapsed="false">
      <c r="A13" s="16" t="s">
        <v>66</v>
      </c>
      <c r="B13" s="17" t="n">
        <v>384</v>
      </c>
      <c r="C13" s="30" t="n">
        <v>8762.38</v>
      </c>
      <c r="D13" s="26" t="n">
        <f aca="false">D12+B13/SUM(B6:B28)</f>
        <v>0.665591952540624</v>
      </c>
    </row>
    <row r="14" customFormat="false" ht="15" hidden="false" customHeight="false" outlineLevel="0" collapsed="false">
      <c r="A14" s="11" t="s">
        <v>69</v>
      </c>
      <c r="B14" s="12" t="n">
        <v>367</v>
      </c>
      <c r="C14" s="29" t="n">
        <v>5958.14</v>
      </c>
      <c r="D14" s="15" t="n">
        <f aca="false">D13+B14/SUM(B6:B28)</f>
        <v>0.712922362651535</v>
      </c>
    </row>
    <row r="15" customFormat="false" ht="15" hidden="false" customHeight="false" outlineLevel="0" collapsed="false">
      <c r="A15" s="16" t="s">
        <v>72</v>
      </c>
      <c r="B15" s="17" t="n">
        <v>307</v>
      </c>
      <c r="C15" s="30" t="n">
        <v>8241.78</v>
      </c>
      <c r="D15" s="26" t="n">
        <f aca="false">D14+B15/SUM(B6:B28)</f>
        <v>0.752514831054939</v>
      </c>
    </row>
    <row r="16" customFormat="false" ht="15" hidden="false" customHeight="false" outlineLevel="0" collapsed="false">
      <c r="A16" s="11" t="s">
        <v>73</v>
      </c>
      <c r="B16" s="12" t="n">
        <v>298</v>
      </c>
      <c r="C16" s="29" t="n">
        <v>3245.42</v>
      </c>
      <c r="D16" s="15" t="n">
        <f aca="false">D15+B16/SUM(B6:B28)</f>
        <v>0.790946608202218</v>
      </c>
    </row>
    <row r="17" customFormat="false" ht="15" hidden="false" customHeight="false" outlineLevel="0" collapsed="false">
      <c r="A17" s="16" t="s">
        <v>71</v>
      </c>
      <c r="B17" s="17" t="n">
        <v>276</v>
      </c>
      <c r="C17" s="30" t="n">
        <v>6969.3</v>
      </c>
      <c r="D17" s="26" t="n">
        <f aca="false">D16+B17/SUM(B6:B28)</f>
        <v>0.826541140056745</v>
      </c>
    </row>
    <row r="18" customFormat="false" ht="15" hidden="false" customHeight="false" outlineLevel="0" collapsed="false">
      <c r="A18" s="11" t="s">
        <v>74</v>
      </c>
      <c r="B18" s="12" t="n">
        <v>263</v>
      </c>
      <c r="C18" s="29" t="n">
        <v>5949.26</v>
      </c>
      <c r="D18" s="15" t="n">
        <f aca="false">D17+B18/SUM(B6:B28)</f>
        <v>0.860459117874645</v>
      </c>
    </row>
    <row r="19" customFormat="false" ht="15" hidden="false" customHeight="false" outlineLevel="0" collapsed="false">
      <c r="A19" s="16" t="s">
        <v>75</v>
      </c>
      <c r="B19" s="17" t="n">
        <v>234</v>
      </c>
      <c r="C19" s="30" t="n">
        <v>4311.08</v>
      </c>
      <c r="D19" s="26" t="n">
        <f aca="false">D18+B19/SUM(B6:B28)</f>
        <v>0.890637090533918</v>
      </c>
    </row>
    <row r="20" customFormat="false" ht="15" hidden="false" customHeight="false" outlineLevel="0" collapsed="false">
      <c r="A20" s="11" t="s">
        <v>76</v>
      </c>
      <c r="B20" s="12" t="n">
        <v>190</v>
      </c>
      <c r="C20" s="29" t="n">
        <v>3851.84</v>
      </c>
      <c r="D20" s="15" t="n">
        <f aca="false">D19+B20/SUM(B6:B28)</f>
        <v>0.915140572607686</v>
      </c>
    </row>
    <row r="21" customFormat="false" ht="15" hidden="false" customHeight="false" outlineLevel="0" collapsed="false">
      <c r="A21" s="16" t="s">
        <v>79</v>
      </c>
      <c r="B21" s="17" t="n">
        <v>146</v>
      </c>
      <c r="C21" s="30" t="n">
        <v>3352.83</v>
      </c>
      <c r="D21" s="26" t="n">
        <f aca="false">D20+B21/SUM(B6:B28)</f>
        <v>0.933969564095951</v>
      </c>
    </row>
    <row r="22" customFormat="false" ht="15" hidden="false" customHeight="false" outlineLevel="0" collapsed="false">
      <c r="A22" s="11" t="s">
        <v>77</v>
      </c>
      <c r="B22" s="12" t="n">
        <v>135</v>
      </c>
      <c r="C22" s="29" t="n">
        <v>3080.53</v>
      </c>
      <c r="D22" s="15" t="n">
        <f aca="false">D21+B22/SUM(B6:B28)</f>
        <v>0.951379932937839</v>
      </c>
    </row>
    <row r="23" customFormat="false" ht="15" hidden="false" customHeight="false" outlineLevel="0" collapsed="false">
      <c r="A23" s="16" t="s">
        <v>78</v>
      </c>
      <c r="B23" s="17" t="n">
        <v>125</v>
      </c>
      <c r="C23" s="30" t="n">
        <v>3144.24</v>
      </c>
      <c r="D23" s="26" t="n">
        <f aca="false">D22+B23/SUM(B6:B28)</f>
        <v>0.967500644828476</v>
      </c>
    </row>
    <row r="24" customFormat="false" ht="15" hidden="false" customHeight="false" outlineLevel="0" collapsed="false">
      <c r="A24" s="11" t="s">
        <v>80</v>
      </c>
      <c r="B24" s="12" t="n">
        <v>71</v>
      </c>
      <c r="C24" s="29" t="n">
        <v>1596.87</v>
      </c>
      <c r="D24" s="15" t="n">
        <f aca="false">D23+B24/SUM(B6:B28)</f>
        <v>0.976657209182358</v>
      </c>
    </row>
    <row r="25" customFormat="false" ht="15" hidden="false" customHeight="false" outlineLevel="0" collapsed="false">
      <c r="A25" s="16" t="s">
        <v>81</v>
      </c>
      <c r="B25" s="17" t="n">
        <v>61</v>
      </c>
      <c r="C25" s="30" t="n">
        <v>1653.33</v>
      </c>
      <c r="D25" s="26" t="n">
        <f aca="false">D24+B25/SUM(B6:B28)</f>
        <v>0.984524116584989</v>
      </c>
    </row>
    <row r="26" customFormat="false" ht="15" hidden="false" customHeight="false" outlineLevel="0" collapsed="false">
      <c r="A26" s="11" t="s">
        <v>82</v>
      </c>
      <c r="B26" s="12" t="n">
        <v>57</v>
      </c>
      <c r="C26" s="29" t="n">
        <v>1728.49</v>
      </c>
      <c r="D26" s="15" t="n">
        <f aca="false">D25+B26/SUM(B6:B28)</f>
        <v>0.991875161207119</v>
      </c>
    </row>
    <row r="27" customFormat="false" ht="15" hidden="false" customHeight="false" outlineLevel="0" collapsed="false">
      <c r="A27" s="16" t="s">
        <v>83</v>
      </c>
      <c r="B27" s="17" t="n">
        <v>52</v>
      </c>
      <c r="C27" s="30" t="n">
        <v>824.77</v>
      </c>
      <c r="D27" s="26" t="n">
        <f aca="false">D26+B27/SUM(B6:B28)</f>
        <v>0.998581377353624</v>
      </c>
    </row>
    <row r="28" customFormat="false" ht="15" hidden="false" customHeight="false" outlineLevel="0" collapsed="false">
      <c r="A28" s="11" t="s">
        <v>84</v>
      </c>
      <c r="B28" s="12" t="n">
        <v>11</v>
      </c>
      <c r="C28" s="29" t="n">
        <v>235.76</v>
      </c>
      <c r="D28" s="15" t="n">
        <f aca="false">D27+B28/SUM(B6:B28)</f>
        <v>1</v>
      </c>
    </row>
    <row r="31" customFormat="false" ht="15" hidden="false" customHeight="false" outlineLevel="0" collapsed="false">
      <c r="A31" s="28" t="s">
        <v>104</v>
      </c>
    </row>
    <row r="32" customFormat="false" ht="26.85" hidden="false" customHeight="false" outlineLevel="0" collapsed="false">
      <c r="A32" s="10" t="s">
        <v>105</v>
      </c>
      <c r="B32" s="10" t="s">
        <v>101</v>
      </c>
      <c r="C32" s="10" t="s">
        <v>102</v>
      </c>
      <c r="D32" s="10" t="s">
        <v>103</v>
      </c>
    </row>
    <row r="33" customFormat="false" ht="15" hidden="false" customHeight="false" outlineLevel="0" collapsed="false">
      <c r="A33" s="11" t="s">
        <v>106</v>
      </c>
      <c r="B33" s="12" t="n">
        <v>1037</v>
      </c>
      <c r="C33" s="29" t="n">
        <v>22495.06</v>
      </c>
      <c r="D33" s="15" t="n">
        <f aca="false">B33/SUM(B33:B81)</f>
        <v>0.133737425844725</v>
      </c>
    </row>
    <row r="34" customFormat="false" ht="15" hidden="false" customHeight="false" outlineLevel="0" collapsed="false">
      <c r="A34" s="16" t="s">
        <v>107</v>
      </c>
      <c r="B34" s="17" t="n">
        <v>983</v>
      </c>
      <c r="C34" s="30" t="n">
        <v>18922.51</v>
      </c>
      <c r="D34" s="26" t="n">
        <f aca="false">D33+B34/SUM(B33:B81)</f>
        <v>0.260510704152695</v>
      </c>
    </row>
    <row r="35" customFormat="false" ht="15" hidden="false" customHeight="false" outlineLevel="0" collapsed="false">
      <c r="A35" s="11" t="s">
        <v>108</v>
      </c>
      <c r="B35" s="12" t="n">
        <v>919</v>
      </c>
      <c r="C35" s="29" t="n">
        <v>20068.1</v>
      </c>
      <c r="D35" s="15" t="n">
        <f aca="false">D34+B35/SUM(B33:B81)</f>
        <v>0.379030177972659</v>
      </c>
    </row>
    <row r="36" customFormat="false" ht="15" hidden="false" customHeight="false" outlineLevel="0" collapsed="false">
      <c r="A36" s="16" t="s">
        <v>109</v>
      </c>
      <c r="B36" s="17" t="n">
        <v>828</v>
      </c>
      <c r="C36" s="30" t="n">
        <v>18197.49</v>
      </c>
      <c r="D36" s="26" t="n">
        <f aca="false">D35+B36/SUM(B33:B81)</f>
        <v>0.485813773536239</v>
      </c>
    </row>
    <row r="37" customFormat="false" ht="15" hidden="false" customHeight="false" outlineLevel="0" collapsed="false">
      <c r="A37" s="11" t="s">
        <v>110</v>
      </c>
      <c r="B37" s="12" t="n">
        <v>730</v>
      </c>
      <c r="C37" s="29" t="n">
        <v>14596.32</v>
      </c>
      <c r="D37" s="15" t="n">
        <f aca="false">D36+B37/SUM(B33:B81)</f>
        <v>0.57995873097756</v>
      </c>
    </row>
    <row r="38" customFormat="false" ht="15" hidden="false" customHeight="false" outlineLevel="0" collapsed="false">
      <c r="A38" s="16" t="s">
        <v>111</v>
      </c>
      <c r="B38" s="17" t="n">
        <v>660</v>
      </c>
      <c r="C38" s="30" t="n">
        <v>12734.18</v>
      </c>
      <c r="D38" s="26" t="n">
        <f aca="false">D37+B38/SUM(B33:B81)</f>
        <v>0.665076089760124</v>
      </c>
    </row>
    <row r="39" customFormat="false" ht="15" hidden="false" customHeight="false" outlineLevel="0" collapsed="false">
      <c r="A39" s="11" t="s">
        <v>112</v>
      </c>
      <c r="B39" s="12" t="n">
        <v>572</v>
      </c>
      <c r="C39" s="29" t="n">
        <v>10840.05</v>
      </c>
      <c r="D39" s="15" t="n">
        <f aca="false">D38+B39/SUM(B33:B81)</f>
        <v>0.738844467371679</v>
      </c>
    </row>
    <row r="40" customFormat="false" ht="15" hidden="false" customHeight="false" outlineLevel="0" collapsed="false">
      <c r="A40" s="16" t="s">
        <v>113</v>
      </c>
      <c r="B40" s="17" t="n">
        <v>539</v>
      </c>
      <c r="C40" s="30" t="n">
        <v>11735.92</v>
      </c>
      <c r="D40" s="26" t="n">
        <f aca="false">D39+B40/SUM(B33:B81)</f>
        <v>0.808356977044106</v>
      </c>
    </row>
    <row r="41" customFormat="false" ht="15" hidden="false" customHeight="false" outlineLevel="0" collapsed="false">
      <c r="A41" s="11" t="s">
        <v>114</v>
      </c>
      <c r="B41" s="12" t="n">
        <v>469</v>
      </c>
      <c r="C41" s="29" t="n">
        <v>10232.69</v>
      </c>
      <c r="D41" s="15" t="n">
        <f aca="false">D40+B41/SUM(B33:B81)</f>
        <v>0.868841888057777</v>
      </c>
    </row>
    <row r="42" customFormat="false" ht="15" hidden="false" customHeight="false" outlineLevel="0" collapsed="false">
      <c r="A42" s="16" t="s">
        <v>115</v>
      </c>
      <c r="B42" s="17" t="n">
        <v>132</v>
      </c>
      <c r="C42" s="30" t="n">
        <v>3143.02</v>
      </c>
      <c r="D42" s="26" t="n">
        <f aca="false">D41+B42/SUM(B33:B81)</f>
        <v>0.885865359814289</v>
      </c>
    </row>
    <row r="43" customFormat="false" ht="15" hidden="false" customHeight="false" outlineLevel="0" collapsed="false">
      <c r="A43" s="11" t="s">
        <v>116</v>
      </c>
      <c r="B43" s="12" t="n">
        <v>83</v>
      </c>
      <c r="C43" s="29" t="n">
        <v>1758.2</v>
      </c>
      <c r="D43" s="15" t="n">
        <f aca="false">D42+B43/SUM(B33:B81)</f>
        <v>0.896569512509672</v>
      </c>
    </row>
    <row r="44" customFormat="false" ht="15" hidden="false" customHeight="false" outlineLevel="0" collapsed="false">
      <c r="A44" s="16" t="s">
        <v>117</v>
      </c>
      <c r="B44" s="17" t="n">
        <v>72</v>
      </c>
      <c r="C44" s="30" t="n">
        <v>1718.02</v>
      </c>
      <c r="D44" s="26" t="n">
        <f aca="false">D43+B44/SUM(B33:B81)</f>
        <v>0.905855042558679</v>
      </c>
    </row>
    <row r="45" customFormat="false" ht="15" hidden="false" customHeight="false" outlineLevel="0" collapsed="false">
      <c r="A45" s="11" t="s">
        <v>118</v>
      </c>
      <c r="B45" s="12" t="n">
        <v>64</v>
      </c>
      <c r="C45" s="29" t="n">
        <v>1368.47</v>
      </c>
      <c r="D45" s="15" t="n">
        <f aca="false">D44+B45/SUM(B33:B81)</f>
        <v>0.914108847046686</v>
      </c>
    </row>
    <row r="46" customFormat="false" ht="15" hidden="false" customHeight="false" outlineLevel="0" collapsed="false">
      <c r="A46" s="16" t="s">
        <v>119</v>
      </c>
      <c r="B46" s="17" t="n">
        <v>48</v>
      </c>
      <c r="C46" s="30" t="n">
        <v>1018.48</v>
      </c>
      <c r="D46" s="26" t="n">
        <f aca="false">D45+B46/SUM(B33:B81)</f>
        <v>0.92029920041269</v>
      </c>
    </row>
    <row r="47" customFormat="false" ht="15" hidden="false" customHeight="false" outlineLevel="0" collapsed="false">
      <c r="A47" s="11" t="s">
        <v>120</v>
      </c>
      <c r="B47" s="12" t="n">
        <v>41</v>
      </c>
      <c r="C47" s="29" t="n">
        <v>888.71</v>
      </c>
      <c r="D47" s="15" t="n">
        <f aca="false">D46+B47/SUM(B33:B81)</f>
        <v>0.925586793912819</v>
      </c>
    </row>
    <row r="48" customFormat="false" ht="15" hidden="false" customHeight="false" outlineLevel="0" collapsed="false">
      <c r="A48" s="16" t="s">
        <v>121</v>
      </c>
      <c r="B48" s="17" t="n">
        <v>34</v>
      </c>
      <c r="C48" s="30" t="n">
        <v>852.67</v>
      </c>
      <c r="D48" s="26" t="n">
        <f aca="false">D47+B48/SUM(B33:B81)</f>
        <v>0.929971627547072</v>
      </c>
    </row>
    <row r="49" customFormat="false" ht="15" hidden="false" customHeight="false" outlineLevel="0" collapsed="false">
      <c r="A49" s="11" t="s">
        <v>122</v>
      </c>
      <c r="B49" s="12" t="n">
        <v>30</v>
      </c>
      <c r="C49" s="29" t="n">
        <v>728.23</v>
      </c>
      <c r="D49" s="15" t="n">
        <f aca="false">D48+B49/SUM(B33:B81)</f>
        <v>0.933840598400825</v>
      </c>
    </row>
    <row r="50" customFormat="false" ht="15" hidden="false" customHeight="false" outlineLevel="0" collapsed="false">
      <c r="A50" s="16" t="s">
        <v>123</v>
      </c>
      <c r="B50" s="17" t="n">
        <v>30</v>
      </c>
      <c r="C50" s="30" t="n">
        <v>725.82</v>
      </c>
      <c r="D50" s="26" t="n">
        <f aca="false">D49+B50/SUM(B33:B81)</f>
        <v>0.937709569254578</v>
      </c>
    </row>
    <row r="51" customFormat="false" ht="15" hidden="false" customHeight="false" outlineLevel="0" collapsed="false">
      <c r="A51" s="11" t="s">
        <v>124</v>
      </c>
      <c r="B51" s="12" t="n">
        <v>28</v>
      </c>
      <c r="C51" s="29" t="n">
        <v>609.6</v>
      </c>
      <c r="D51" s="15" t="n">
        <f aca="false">D50+B51/SUM(B33:B81)</f>
        <v>0.941320608718081</v>
      </c>
    </row>
    <row r="52" customFormat="false" ht="15" hidden="false" customHeight="false" outlineLevel="0" collapsed="false">
      <c r="A52" s="16" t="s">
        <v>125</v>
      </c>
      <c r="B52" s="17" t="n">
        <v>26</v>
      </c>
      <c r="C52" s="30" t="n">
        <v>645.66</v>
      </c>
      <c r="D52" s="26" t="n">
        <f aca="false">D51+B52/SUM(B33:B81)</f>
        <v>0.944673716791334</v>
      </c>
    </row>
    <row r="53" customFormat="false" ht="15" hidden="false" customHeight="false" outlineLevel="0" collapsed="false">
      <c r="A53" s="11" t="s">
        <v>126</v>
      </c>
      <c r="B53" s="12" t="n">
        <v>26</v>
      </c>
      <c r="C53" s="29" t="n">
        <v>500.2</v>
      </c>
      <c r="D53" s="15" t="n">
        <f aca="false">D52+B53/SUM(B33:B81)</f>
        <v>0.948026824864586</v>
      </c>
    </row>
    <row r="54" customFormat="false" ht="15" hidden="false" customHeight="false" outlineLevel="0" collapsed="false">
      <c r="A54" s="16" t="s">
        <v>127</v>
      </c>
      <c r="B54" s="17" t="n">
        <v>25</v>
      </c>
      <c r="C54" s="30" t="n">
        <v>480.71</v>
      </c>
      <c r="D54" s="26" t="n">
        <f aca="false">D53+B54/SUM(B33:B81)</f>
        <v>0.951250967242713</v>
      </c>
    </row>
    <row r="55" customFormat="false" ht="15" hidden="false" customHeight="false" outlineLevel="0" collapsed="false">
      <c r="A55" s="11" t="s">
        <v>128</v>
      </c>
      <c r="B55" s="12" t="n">
        <v>24</v>
      </c>
      <c r="C55" s="29" t="n">
        <v>583.76</v>
      </c>
      <c r="D55" s="15" t="n">
        <f aca="false">D54+B55/SUM(B33:B81)</f>
        <v>0.954346143925716</v>
      </c>
    </row>
    <row r="56" customFormat="false" ht="15" hidden="false" customHeight="false" outlineLevel="0" collapsed="false">
      <c r="A56" s="16" t="s">
        <v>129</v>
      </c>
      <c r="B56" s="17" t="n">
        <v>22</v>
      </c>
      <c r="C56" s="30" t="n">
        <v>556.77</v>
      </c>
      <c r="D56" s="26" t="n">
        <f aca="false">D55+B56/SUM(B33:B81)</f>
        <v>0.957183389218468</v>
      </c>
    </row>
    <row r="57" customFormat="false" ht="15" hidden="false" customHeight="false" outlineLevel="0" collapsed="false">
      <c r="A57" s="11" t="s">
        <v>130</v>
      </c>
      <c r="B57" s="12" t="n">
        <v>22</v>
      </c>
      <c r="C57" s="29" t="n">
        <v>405.88</v>
      </c>
      <c r="D57" s="15" t="n">
        <f aca="false">D56+B57/SUM(B33:B81)</f>
        <v>0.96002063451122</v>
      </c>
    </row>
    <row r="58" customFormat="false" ht="15" hidden="false" customHeight="false" outlineLevel="0" collapsed="false">
      <c r="A58" s="16" t="s">
        <v>131</v>
      </c>
      <c r="B58" s="17" t="n">
        <v>22</v>
      </c>
      <c r="C58" s="30" t="n">
        <v>503.72</v>
      </c>
      <c r="D58" s="26" t="n">
        <f aca="false">D57+B58/SUM(B33:B81)</f>
        <v>0.962857879803972</v>
      </c>
    </row>
    <row r="59" customFormat="false" ht="15" hidden="false" customHeight="false" outlineLevel="0" collapsed="false">
      <c r="A59" s="11" t="s">
        <v>132</v>
      </c>
      <c r="B59" s="12" t="n">
        <v>21</v>
      </c>
      <c r="C59" s="29" t="n">
        <v>566.71</v>
      </c>
      <c r="D59" s="15" t="n">
        <f aca="false">D58+B59/SUM(B33:B81)</f>
        <v>0.965566159401599</v>
      </c>
    </row>
    <row r="60" customFormat="false" ht="15" hidden="false" customHeight="false" outlineLevel="0" collapsed="false">
      <c r="A60" s="16" t="s">
        <v>133</v>
      </c>
      <c r="B60" s="17" t="n">
        <v>21</v>
      </c>
      <c r="C60" s="30" t="n">
        <v>451.68</v>
      </c>
      <c r="D60" s="26" t="n">
        <f aca="false">D59+B60/SUM(B33:B81)</f>
        <v>0.968274438999226</v>
      </c>
    </row>
    <row r="61" customFormat="false" ht="15" hidden="false" customHeight="false" outlineLevel="0" collapsed="false">
      <c r="A61" s="11" t="s">
        <v>134</v>
      </c>
      <c r="B61" s="12" t="n">
        <v>20</v>
      </c>
      <c r="C61" s="29" t="n">
        <v>563.82</v>
      </c>
      <c r="D61" s="15" t="n">
        <f aca="false">D60+B61/SUM(B33:B81)</f>
        <v>0.970853752901728</v>
      </c>
    </row>
    <row r="62" customFormat="false" ht="15" hidden="false" customHeight="false" outlineLevel="0" collapsed="false">
      <c r="A62" s="16" t="s">
        <v>135</v>
      </c>
      <c r="B62" s="17" t="n">
        <v>19</v>
      </c>
      <c r="C62" s="30" t="n">
        <v>542.03</v>
      </c>
      <c r="D62" s="26" t="n">
        <f aca="false">D61+B62/SUM(B33:B81)</f>
        <v>0.973304101109105</v>
      </c>
    </row>
    <row r="63" customFormat="false" ht="15" hidden="false" customHeight="false" outlineLevel="0" collapsed="false">
      <c r="A63" s="11" t="s">
        <v>136</v>
      </c>
      <c r="B63" s="12" t="n">
        <v>18</v>
      </c>
      <c r="C63" s="29" t="n">
        <v>405.95</v>
      </c>
      <c r="D63" s="15" t="n">
        <f aca="false">D62+B63/SUM(B33:B81)</f>
        <v>0.975625483621357</v>
      </c>
    </row>
    <row r="64" customFormat="false" ht="15" hidden="false" customHeight="false" outlineLevel="0" collapsed="false">
      <c r="A64" s="16" t="s">
        <v>137</v>
      </c>
      <c r="B64" s="17" t="n">
        <v>17</v>
      </c>
      <c r="C64" s="30" t="n">
        <v>434.61</v>
      </c>
      <c r="D64" s="26" t="n">
        <f aca="false">D63+B64/SUM(B33:B81)</f>
        <v>0.977817900438483</v>
      </c>
    </row>
    <row r="65" customFormat="false" ht="15" hidden="false" customHeight="false" outlineLevel="0" collapsed="false">
      <c r="A65" s="11" t="s">
        <v>138</v>
      </c>
      <c r="B65" s="12" t="n">
        <v>17</v>
      </c>
      <c r="C65" s="29" t="n">
        <v>319.99</v>
      </c>
      <c r="D65" s="15" t="n">
        <f aca="false">D64+B65/SUM(B33:B81)</f>
        <v>0.98001031725561</v>
      </c>
    </row>
    <row r="66" customFormat="false" ht="15" hidden="false" customHeight="false" outlineLevel="0" collapsed="false">
      <c r="A66" s="16" t="s">
        <v>139</v>
      </c>
      <c r="B66" s="17" t="n">
        <v>16</v>
      </c>
      <c r="C66" s="30" t="n">
        <v>363.59</v>
      </c>
      <c r="D66" s="26" t="n">
        <f aca="false">D65+B66/SUM(B33:B81)</f>
        <v>0.982073768377612</v>
      </c>
    </row>
    <row r="67" customFormat="false" ht="15" hidden="false" customHeight="false" outlineLevel="0" collapsed="false">
      <c r="A67" s="11" t="s">
        <v>140</v>
      </c>
      <c r="B67" s="12" t="n">
        <v>16</v>
      </c>
      <c r="C67" s="29" t="n">
        <v>467.7</v>
      </c>
      <c r="D67" s="15" t="n">
        <f aca="false">D66+B67/SUM(B33:B81)</f>
        <v>0.984137219499613</v>
      </c>
    </row>
    <row r="68" customFormat="false" ht="15" hidden="false" customHeight="false" outlineLevel="0" collapsed="false">
      <c r="A68" s="16" t="s">
        <v>141</v>
      </c>
      <c r="B68" s="17" t="n">
        <v>14</v>
      </c>
      <c r="C68" s="30" t="n">
        <v>273.55</v>
      </c>
      <c r="D68" s="26" t="n">
        <f aca="false">D67+B68/SUM(B33:B81)</f>
        <v>0.985942739231364</v>
      </c>
    </row>
    <row r="69" customFormat="false" ht="15" hidden="false" customHeight="false" outlineLevel="0" collapsed="false">
      <c r="A69" s="11" t="s">
        <v>142</v>
      </c>
      <c r="B69" s="12" t="n">
        <v>14</v>
      </c>
      <c r="C69" s="29" t="n">
        <v>340.65</v>
      </c>
      <c r="D69" s="15" t="n">
        <f aca="false">D68+B69/SUM(B33:B81)</f>
        <v>0.987748258963116</v>
      </c>
    </row>
    <row r="70" customFormat="false" ht="15" hidden="false" customHeight="false" outlineLevel="0" collapsed="false">
      <c r="A70" s="16" t="s">
        <v>143</v>
      </c>
      <c r="B70" s="17" t="n">
        <v>14</v>
      </c>
      <c r="C70" s="30" t="n">
        <v>333.8</v>
      </c>
      <c r="D70" s="26" t="n">
        <f aca="false">D69+B70/SUM(B33:B81)</f>
        <v>0.989553778694867</v>
      </c>
    </row>
    <row r="71" customFormat="false" ht="15" hidden="false" customHeight="false" outlineLevel="0" collapsed="false">
      <c r="A71" s="11" t="s">
        <v>144</v>
      </c>
      <c r="B71" s="12" t="n">
        <v>13</v>
      </c>
      <c r="C71" s="29" t="n">
        <v>286.61</v>
      </c>
      <c r="D71" s="15" t="n">
        <f aca="false">D70+B71/SUM(B33:B81)</f>
        <v>0.991230332731493</v>
      </c>
    </row>
    <row r="72" customFormat="false" ht="15" hidden="false" customHeight="false" outlineLevel="0" collapsed="false">
      <c r="A72" s="16" t="s">
        <v>145</v>
      </c>
      <c r="B72" s="17" t="n">
        <v>12</v>
      </c>
      <c r="C72" s="30" t="n">
        <v>245.74</v>
      </c>
      <c r="D72" s="26" t="n">
        <f aca="false">D71+B72/SUM(B33:B81)</f>
        <v>0.992777921072995</v>
      </c>
    </row>
    <row r="73" customFormat="false" ht="15" hidden="false" customHeight="false" outlineLevel="0" collapsed="false">
      <c r="A73" s="11" t="s">
        <v>146</v>
      </c>
      <c r="B73" s="12" t="n">
        <v>11</v>
      </c>
      <c r="C73" s="29" t="n">
        <v>186.49</v>
      </c>
      <c r="D73" s="15" t="n">
        <f aca="false">D72+B73/SUM(B33:B81)</f>
        <v>0.994196543719371</v>
      </c>
    </row>
    <row r="74" customFormat="false" ht="15" hidden="false" customHeight="false" outlineLevel="0" collapsed="false">
      <c r="A74" s="16" t="s">
        <v>147</v>
      </c>
      <c r="B74" s="17" t="n">
        <v>10</v>
      </c>
      <c r="C74" s="30" t="n">
        <v>358.87</v>
      </c>
      <c r="D74" s="26" t="n">
        <f aca="false">D73+B74/SUM(B33:B81)</f>
        <v>0.995486200670622</v>
      </c>
    </row>
    <row r="75" customFormat="false" ht="15" hidden="false" customHeight="false" outlineLevel="0" collapsed="false">
      <c r="A75" s="11" t="s">
        <v>148</v>
      </c>
      <c r="B75" s="12" t="n">
        <v>9</v>
      </c>
      <c r="C75" s="29" t="n">
        <v>209.24</v>
      </c>
      <c r="D75" s="15" t="n">
        <f aca="false">D74+B75/SUM(B33:B81)</f>
        <v>0.996646891926747</v>
      </c>
    </row>
    <row r="76" customFormat="false" ht="15" hidden="false" customHeight="false" outlineLevel="0" collapsed="false">
      <c r="A76" s="16" t="s">
        <v>149</v>
      </c>
      <c r="B76" s="17" t="n">
        <v>9</v>
      </c>
      <c r="C76" s="30" t="n">
        <v>187.89</v>
      </c>
      <c r="D76" s="26" t="n">
        <f aca="false">D75+B76/SUM(B33:B81)</f>
        <v>0.997807583182873</v>
      </c>
    </row>
    <row r="77" customFormat="false" ht="15" hidden="false" customHeight="false" outlineLevel="0" collapsed="false">
      <c r="A77" s="11" t="s">
        <v>150</v>
      </c>
      <c r="B77" s="12" t="n">
        <v>8</v>
      </c>
      <c r="C77" s="29" t="n">
        <v>195.46</v>
      </c>
      <c r="D77" s="15" t="n">
        <f aca="false">D76+B77/SUM(B33:B81)</f>
        <v>0.998839308743874</v>
      </c>
    </row>
    <row r="78" customFormat="false" ht="15" hidden="false" customHeight="false" outlineLevel="0" collapsed="false">
      <c r="A78" s="16" t="s">
        <v>151</v>
      </c>
      <c r="B78" s="17" t="n">
        <v>3</v>
      </c>
      <c r="C78" s="30" t="n">
        <v>98.7</v>
      </c>
      <c r="D78" s="26" t="n">
        <f aca="false">D77+B78/SUM(B33:B81)</f>
        <v>0.999226205829249</v>
      </c>
    </row>
    <row r="79" customFormat="false" ht="15" hidden="false" customHeight="false" outlineLevel="0" collapsed="false">
      <c r="A79" s="11" t="s">
        <v>152</v>
      </c>
      <c r="B79" s="12" t="n">
        <v>2</v>
      </c>
      <c r="C79" s="29" t="n">
        <v>38.68</v>
      </c>
      <c r="D79" s="15" t="n">
        <f aca="false">D78+B79/SUM(B33:B81)</f>
        <v>0.9994841372195</v>
      </c>
    </row>
    <row r="80" customFormat="false" ht="15" hidden="false" customHeight="false" outlineLevel="0" collapsed="false">
      <c r="A80" s="16" t="s">
        <v>153</v>
      </c>
      <c r="B80" s="17" t="n">
        <v>2</v>
      </c>
      <c r="C80" s="30" t="n">
        <v>37.39</v>
      </c>
      <c r="D80" s="26" t="n">
        <f aca="false">D79+B80/SUM(B33:B81)</f>
        <v>0.99974206860975</v>
      </c>
    </row>
    <row r="81" customFormat="false" ht="15" hidden="false" customHeight="false" outlineLevel="0" collapsed="false">
      <c r="A81" s="11" t="s">
        <v>154</v>
      </c>
      <c r="B81" s="12" t="n">
        <v>2</v>
      </c>
      <c r="C81" s="29" t="n">
        <v>45.73</v>
      </c>
      <c r="D81" s="15" t="n">
        <f aca="false">D80+B81/SUM(B33:B81)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2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155</v>
      </c>
    </row>
    <row r="2" customFormat="false" ht="15" hidden="false" customHeight="false" outlineLevel="0" collapsed="false">
      <c r="A2" s="2" t="s">
        <v>156</v>
      </c>
    </row>
    <row r="4" customFormat="false" ht="26.85" hidden="false" customHeight="false" outlineLevel="0" collapsed="false">
      <c r="A4" s="10" t="s">
        <v>157</v>
      </c>
      <c r="B4" s="10" t="s">
        <v>48</v>
      </c>
      <c r="C4" s="10" t="s">
        <v>39</v>
      </c>
      <c r="D4" s="10" t="s">
        <v>158</v>
      </c>
      <c r="E4" s="10" t="s">
        <v>159</v>
      </c>
      <c r="F4" s="10" t="s">
        <v>54</v>
      </c>
      <c r="G4" s="10" t="s">
        <v>53</v>
      </c>
      <c r="H4" s="10" t="s">
        <v>160</v>
      </c>
    </row>
    <row r="5" customFormat="false" ht="15" hidden="false" customHeight="false" outlineLevel="0" collapsed="false">
      <c r="A5" s="11" t="s">
        <v>161</v>
      </c>
      <c r="B5" s="23" t="n">
        <v>958</v>
      </c>
      <c r="C5" s="15" t="n">
        <v>0.458246346555324</v>
      </c>
      <c r="D5" s="15" t="n">
        <v>0.481210855949896</v>
      </c>
      <c r="E5" s="15" t="n">
        <v>0.303757828810021</v>
      </c>
      <c r="F5" s="15" t="n">
        <v>0.0542797494780793</v>
      </c>
      <c r="G5" s="24" t="n">
        <v>13.7552818137022</v>
      </c>
      <c r="H5" s="24" t="n">
        <v>194.844523557693</v>
      </c>
    </row>
    <row r="6" customFormat="false" ht="15" hidden="false" customHeight="false" outlineLevel="0" collapsed="false">
      <c r="A6" s="16" t="s">
        <v>162</v>
      </c>
      <c r="B6" s="25" t="n">
        <v>24561</v>
      </c>
      <c r="C6" s="26" t="n">
        <v>0.405398802980335</v>
      </c>
      <c r="D6" s="26" t="n">
        <v>0.427547738284272</v>
      </c>
      <c r="E6" s="26" t="n">
        <v>0.427547738284272</v>
      </c>
      <c r="F6" s="26" t="n">
        <v>0.0456007491551646</v>
      </c>
      <c r="G6" s="27" t="n">
        <v>17.463249679356</v>
      </c>
      <c r="H6" s="27" t="n">
        <v>196.387152241917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163</v>
      </c>
    </row>
    <row r="2" customFormat="false" ht="15" hidden="false" customHeight="false" outlineLevel="0" collapsed="false">
      <c r="A2" s="2" t="s">
        <v>164</v>
      </c>
    </row>
    <row r="4" customFormat="false" ht="15" hidden="false" customHeight="false" outlineLevel="0" collapsed="false">
      <c r="A4" s="28" t="s">
        <v>165</v>
      </c>
    </row>
    <row r="5" customFormat="false" ht="26.85" hidden="false" customHeight="false" outlineLevel="0" collapsed="false">
      <c r="A5" s="10" t="s">
        <v>166</v>
      </c>
      <c r="B5" s="10" t="s">
        <v>48</v>
      </c>
      <c r="C5" s="10" t="s">
        <v>167</v>
      </c>
      <c r="D5" s="10" t="s">
        <v>168</v>
      </c>
      <c r="E5" s="10" t="s">
        <v>39</v>
      </c>
      <c r="F5" s="10" t="s">
        <v>53</v>
      </c>
    </row>
    <row r="6" customFormat="false" ht="15" hidden="false" customHeight="false" outlineLevel="0" collapsed="false">
      <c r="A6" s="11" t="s">
        <v>169</v>
      </c>
      <c r="B6" s="23" t="n">
        <v>1604</v>
      </c>
      <c r="C6" s="23" t="n">
        <v>3648</v>
      </c>
      <c r="D6" s="24" t="n">
        <v>316334.036102921</v>
      </c>
      <c r="E6" s="15" t="n">
        <v>0.435162094763092</v>
      </c>
      <c r="F6" s="24" t="n">
        <v>14.8076754208454</v>
      </c>
    </row>
    <row r="7" customFormat="false" ht="15" hidden="false" customHeight="false" outlineLevel="0" collapsed="false">
      <c r="A7" s="16" t="s">
        <v>170</v>
      </c>
      <c r="B7" s="25" t="n">
        <v>1394</v>
      </c>
      <c r="C7" s="25" t="n">
        <v>3146</v>
      </c>
      <c r="D7" s="27" t="n">
        <v>273101.35504751</v>
      </c>
      <c r="E7" s="26" t="n">
        <v>0.398852223816356</v>
      </c>
      <c r="F7" s="27" t="n">
        <v>15.8283082808111</v>
      </c>
    </row>
    <row r="8" customFormat="false" ht="15" hidden="false" customHeight="false" outlineLevel="0" collapsed="false">
      <c r="A8" s="11" t="s">
        <v>171</v>
      </c>
      <c r="B8" s="23" t="n">
        <v>1610</v>
      </c>
      <c r="C8" s="23" t="n">
        <v>3559</v>
      </c>
      <c r="D8" s="24" t="n">
        <v>318631.28622633</v>
      </c>
      <c r="E8" s="15" t="n">
        <v>0.413664596273292</v>
      </c>
      <c r="F8" s="24" t="n">
        <v>15.5063076363471</v>
      </c>
    </row>
    <row r="9" customFormat="false" ht="15" hidden="false" customHeight="false" outlineLevel="0" collapsed="false">
      <c r="A9" s="16" t="s">
        <v>172</v>
      </c>
      <c r="B9" s="25" t="n">
        <v>1457</v>
      </c>
      <c r="C9" s="25" t="n">
        <v>3231</v>
      </c>
      <c r="D9" s="27" t="n">
        <v>286073.405367251</v>
      </c>
      <c r="E9" s="26" t="n">
        <v>0.417982155113246</v>
      </c>
      <c r="F9" s="27" t="n">
        <v>14.9842143519651</v>
      </c>
    </row>
    <row r="10" customFormat="false" ht="15" hidden="false" customHeight="false" outlineLevel="0" collapsed="false">
      <c r="A10" s="11" t="s">
        <v>173</v>
      </c>
      <c r="B10" s="23" t="n">
        <v>1661</v>
      </c>
      <c r="C10" s="23" t="n">
        <v>3644</v>
      </c>
      <c r="D10" s="24" t="n">
        <v>329009.43656283</v>
      </c>
      <c r="E10" s="15" t="n">
        <v>0.373269114990969</v>
      </c>
      <c r="F10" s="24" t="n">
        <v>16.3818189026403</v>
      </c>
    </row>
    <row r="11" customFormat="false" ht="15" hidden="false" customHeight="false" outlineLevel="0" collapsed="false">
      <c r="A11" s="16" t="s">
        <v>174</v>
      </c>
      <c r="B11" s="25" t="n">
        <v>1554</v>
      </c>
      <c r="C11" s="25" t="n">
        <v>3340</v>
      </c>
      <c r="D11" s="27" t="n">
        <v>311914.326106072</v>
      </c>
      <c r="E11" s="26" t="n">
        <v>0.462676962676963</v>
      </c>
      <c r="F11" s="27" t="n">
        <v>22.4767058559111</v>
      </c>
    </row>
    <row r="12" customFormat="false" ht="15" hidden="false" customHeight="false" outlineLevel="0" collapsed="false">
      <c r="A12" s="11" t="s">
        <v>175</v>
      </c>
      <c r="B12" s="23" t="n">
        <v>1651</v>
      </c>
      <c r="C12" s="23" t="n">
        <v>3692</v>
      </c>
      <c r="D12" s="24" t="n">
        <v>328034.106429092</v>
      </c>
      <c r="E12" s="15" t="n">
        <v>0.391883706844337</v>
      </c>
      <c r="F12" s="24" t="n">
        <v>23.5510553504386</v>
      </c>
    </row>
    <row r="13" customFormat="false" ht="15" hidden="false" customHeight="false" outlineLevel="0" collapsed="false">
      <c r="A13" s="16" t="s">
        <v>176</v>
      </c>
      <c r="B13" s="25" t="n">
        <v>1642</v>
      </c>
      <c r="C13" s="25" t="n">
        <v>3560</v>
      </c>
      <c r="D13" s="27" t="n">
        <v>320481.266485142</v>
      </c>
      <c r="E13" s="26" t="n">
        <v>0.379415347137637</v>
      </c>
      <c r="F13" s="27" t="n">
        <v>23.2620747254157</v>
      </c>
    </row>
    <row r="14" customFormat="false" ht="15" hidden="false" customHeight="false" outlineLevel="0" collapsed="false">
      <c r="A14" s="11" t="s">
        <v>177</v>
      </c>
      <c r="B14" s="23" t="n">
        <v>1519</v>
      </c>
      <c r="C14" s="23" t="n">
        <v>3352</v>
      </c>
      <c r="D14" s="24" t="n">
        <v>303099.535869182</v>
      </c>
      <c r="E14" s="15" t="n">
        <v>0.427254772876893</v>
      </c>
      <c r="F14" s="24" t="n">
        <v>22.6518734678996</v>
      </c>
    </row>
    <row r="15" customFormat="false" ht="15" hidden="false" customHeight="false" outlineLevel="0" collapsed="false">
      <c r="A15" s="16" t="s">
        <v>178</v>
      </c>
      <c r="B15" s="25" t="n">
        <v>1632</v>
      </c>
      <c r="C15" s="25" t="n">
        <v>3600</v>
      </c>
      <c r="D15" s="27" t="n">
        <v>323111.04650056</v>
      </c>
      <c r="E15" s="26" t="n">
        <v>0.436274509803922</v>
      </c>
      <c r="F15" s="27" t="n">
        <v>23.0392126784062</v>
      </c>
    </row>
    <row r="16" customFormat="false" ht="15" hidden="false" customHeight="false" outlineLevel="0" collapsed="false">
      <c r="A16" s="11" t="s">
        <v>179</v>
      </c>
      <c r="B16" s="23" t="n">
        <v>1574</v>
      </c>
      <c r="C16" s="23" t="n">
        <v>3429</v>
      </c>
      <c r="D16" s="24" t="n">
        <v>302243.22617213</v>
      </c>
      <c r="E16" s="15" t="n">
        <v>0.42566709021601</v>
      </c>
      <c r="F16" s="24" t="n">
        <v>26.7717375442408</v>
      </c>
    </row>
    <row r="17" customFormat="false" ht="15" hidden="false" customHeight="false" outlineLevel="0" collapsed="false">
      <c r="A17" s="16" t="s">
        <v>180</v>
      </c>
      <c r="B17" s="25" t="n">
        <v>1685</v>
      </c>
      <c r="C17" s="25" t="n">
        <v>3727</v>
      </c>
      <c r="D17" s="27" t="n">
        <v>332179.37634229</v>
      </c>
      <c r="E17" s="26" t="n">
        <v>0.421958456973294</v>
      </c>
      <c r="F17" s="27" t="n">
        <v>27.6246556338069</v>
      </c>
    </row>
    <row r="18" customFormat="false" ht="15" hidden="false" customHeight="false" outlineLevel="0" collapsed="false">
      <c r="A18" s="11" t="s">
        <v>181</v>
      </c>
      <c r="B18" s="23" t="n">
        <v>1656</v>
      </c>
      <c r="C18" s="23" t="n">
        <v>3503</v>
      </c>
      <c r="D18" s="24" t="n">
        <v>324880.486382001</v>
      </c>
      <c r="E18" s="15" t="n">
        <v>0.402777777777778</v>
      </c>
      <c r="F18" s="24" t="n">
        <v>27.3448398350726</v>
      </c>
    </row>
    <row r="19" customFormat="false" ht="15" hidden="false" customHeight="false" outlineLevel="0" collapsed="false">
      <c r="A19" s="16" t="s">
        <v>182</v>
      </c>
      <c r="B19" s="25" t="n">
        <v>1429</v>
      </c>
      <c r="C19" s="25" t="n">
        <v>3107</v>
      </c>
      <c r="D19" s="27" t="n">
        <v>282390.50561878</v>
      </c>
      <c r="E19" s="26" t="n">
        <v>0.40517844646606</v>
      </c>
      <c r="F19" s="27" t="n">
        <v>26.4954675638754</v>
      </c>
    </row>
    <row r="20" customFormat="false" ht="15" hidden="false" customHeight="false" outlineLevel="0" collapsed="false">
      <c r="A20" s="11" t="s">
        <v>183</v>
      </c>
      <c r="B20" s="23" t="n">
        <v>1501</v>
      </c>
      <c r="C20" s="23" t="n">
        <v>3227</v>
      </c>
      <c r="D20" s="24" t="n">
        <v>292018.545832911</v>
      </c>
      <c r="E20" s="15" t="n">
        <v>0.4163890739507</v>
      </c>
      <c r="F20" s="24" t="n">
        <v>26.7290598805495</v>
      </c>
    </row>
    <row r="21" customFormat="false" ht="15" hidden="false" customHeight="false" outlineLevel="0" collapsed="false">
      <c r="A21" s="16" t="s">
        <v>184</v>
      </c>
      <c r="B21" s="25" t="n">
        <v>1662</v>
      </c>
      <c r="C21" s="25" t="n">
        <v>3668</v>
      </c>
      <c r="D21" s="27" t="n">
        <v>325983.50645835</v>
      </c>
      <c r="E21" s="26" t="n">
        <v>0.412755716004814</v>
      </c>
      <c r="F21" s="27" t="n">
        <v>16.3978875183118</v>
      </c>
    </row>
    <row r="22" customFormat="false" ht="15" hidden="false" customHeight="false" outlineLevel="0" collapsed="false">
      <c r="A22" s="11" t="s">
        <v>185</v>
      </c>
      <c r="B22" s="23" t="n">
        <v>1588</v>
      </c>
      <c r="C22" s="23" t="n">
        <v>3520</v>
      </c>
      <c r="D22" s="24" t="n">
        <v>312617.236364011</v>
      </c>
      <c r="E22" s="15" t="n">
        <v>0.418765743073048</v>
      </c>
      <c r="F22" s="24" t="n">
        <v>18.1716263269459</v>
      </c>
    </row>
    <row r="23" customFormat="false" ht="15" hidden="false" customHeight="false" outlineLevel="0" collapsed="false">
      <c r="A23" s="16" t="s">
        <v>186</v>
      </c>
      <c r="B23" s="25" t="n">
        <v>1499</v>
      </c>
      <c r="C23" s="25" t="n">
        <v>3408</v>
      </c>
      <c r="D23" s="27" t="n">
        <v>297835.96584977</v>
      </c>
      <c r="E23" s="26" t="n">
        <v>0.360240160106738</v>
      </c>
      <c r="F23" s="27" t="n">
        <v>18.1893819448265</v>
      </c>
    </row>
    <row r="24" customFormat="false" ht="15" hidden="false" customHeight="false" outlineLevel="0" collapsed="false">
      <c r="A24" s="11" t="s">
        <v>187</v>
      </c>
      <c r="B24" s="23" t="n">
        <v>1474</v>
      </c>
      <c r="C24" s="23" t="n">
        <v>3224</v>
      </c>
      <c r="D24" s="24" t="n">
        <v>283555.92570525</v>
      </c>
      <c r="E24" s="15" t="n">
        <v>0.41044776119403</v>
      </c>
      <c r="F24" s="24" t="n">
        <v>17.6919392523379</v>
      </c>
    </row>
    <row r="25" customFormat="false" ht="15" hidden="false" customHeight="false" outlineLevel="0" collapsed="false">
      <c r="A25" s="16" t="s">
        <v>188</v>
      </c>
      <c r="B25" s="25" t="n">
        <v>1530</v>
      </c>
      <c r="C25" s="25" t="n">
        <v>3394</v>
      </c>
      <c r="D25" s="27" t="n">
        <v>298575.25578551</v>
      </c>
      <c r="E25" s="26" t="n">
        <v>0.413725490196078</v>
      </c>
      <c r="F25" s="27" t="n">
        <v>18.4353554302592</v>
      </c>
    </row>
    <row r="26" customFormat="false" ht="15" hidden="false" customHeight="false" outlineLevel="0" collapsed="false">
      <c r="A26" s="11" t="s">
        <v>189</v>
      </c>
      <c r="B26" s="23" t="n">
        <v>1535</v>
      </c>
      <c r="C26" s="23" t="n">
        <v>3338</v>
      </c>
      <c r="D26" s="24" t="n">
        <v>291134.675697653</v>
      </c>
      <c r="E26" s="15" t="n">
        <v>0.425407166123779</v>
      </c>
      <c r="F26" s="24" t="n">
        <v>24.548702553416</v>
      </c>
    </row>
    <row r="27" customFormat="false" ht="15" hidden="false" customHeight="false" outlineLevel="0" collapsed="false">
      <c r="A27" s="16" t="s">
        <v>190</v>
      </c>
      <c r="B27" s="25" t="n">
        <v>1620</v>
      </c>
      <c r="C27" s="25" t="n">
        <v>3632</v>
      </c>
      <c r="D27" s="27" t="n">
        <v>312012.405875402</v>
      </c>
      <c r="E27" s="26" t="n">
        <v>0.398765432098765</v>
      </c>
      <c r="F27" s="27" t="n">
        <v>25.7527439766497</v>
      </c>
    </row>
    <row r="28" customFormat="false" ht="15" hidden="false" customHeight="false" outlineLevel="0" collapsed="false">
      <c r="A28" s="11" t="s">
        <v>191</v>
      </c>
      <c r="B28" s="23" t="n">
        <v>1513</v>
      </c>
      <c r="C28" s="23" t="n">
        <v>3336</v>
      </c>
      <c r="D28" s="24" t="n">
        <v>303034.27594161</v>
      </c>
      <c r="E28" s="15" t="n">
        <v>0.370125578321216</v>
      </c>
      <c r="F28" s="24" t="n">
        <v>25.157424863451</v>
      </c>
    </row>
    <row r="29" customFormat="false" ht="15" hidden="false" customHeight="false" outlineLevel="0" collapsed="false">
      <c r="A29" s="16" t="s">
        <v>192</v>
      </c>
      <c r="B29" s="25" t="n">
        <v>1538</v>
      </c>
      <c r="C29" s="25" t="n">
        <v>3383</v>
      </c>
      <c r="D29" s="27" t="n">
        <v>307014.066123761</v>
      </c>
      <c r="E29" s="26" t="n">
        <v>0.404421326397919</v>
      </c>
      <c r="F29" s="27" t="n">
        <v>24.3017843152681</v>
      </c>
    </row>
    <row r="30" customFormat="false" ht="15" hidden="false" customHeight="false" outlineLevel="0" collapsed="false">
      <c r="A30" s="11" t="s">
        <v>193</v>
      </c>
      <c r="B30" s="23" t="n">
        <v>1527</v>
      </c>
      <c r="C30" s="23" t="n">
        <v>3322</v>
      </c>
      <c r="D30" s="24" t="n">
        <v>303708.1661103</v>
      </c>
      <c r="E30" s="15" t="n">
        <v>0.425671250818599</v>
      </c>
      <c r="F30" s="24" t="n">
        <v>20.4459092319406</v>
      </c>
    </row>
    <row r="31" customFormat="false" ht="15" hidden="false" customHeight="false" outlineLevel="0" collapsed="false">
      <c r="A31" s="16" t="s">
        <v>194</v>
      </c>
      <c r="B31" s="25" t="n">
        <v>1574</v>
      </c>
      <c r="C31" s="25" t="n">
        <v>3561</v>
      </c>
      <c r="D31" s="27" t="n">
        <v>320224.925978772</v>
      </c>
      <c r="E31" s="26" t="n">
        <v>0.398983481575604</v>
      </c>
      <c r="F31" s="27" t="n">
        <v>16.2711572020801</v>
      </c>
    </row>
    <row r="32" customFormat="false" ht="15" hidden="false" customHeight="false" outlineLevel="0" collapsed="false">
      <c r="A32" s="11" t="s">
        <v>195</v>
      </c>
      <c r="B32" s="23" t="n">
        <v>1685</v>
      </c>
      <c r="C32" s="23" t="n">
        <v>3699</v>
      </c>
      <c r="D32" s="24" t="n">
        <v>330249.42646901</v>
      </c>
      <c r="E32" s="15" t="n">
        <v>0.439169139465875</v>
      </c>
      <c r="F32" s="24" t="n">
        <v>15.6709159596155</v>
      </c>
    </row>
    <row r="33" customFormat="false" ht="15" hidden="false" customHeight="false" outlineLevel="0" collapsed="false">
      <c r="A33" s="16" t="s">
        <v>196</v>
      </c>
      <c r="B33" s="25" t="n">
        <v>1458</v>
      </c>
      <c r="C33" s="25" t="n">
        <v>3147</v>
      </c>
      <c r="D33" s="27" t="n">
        <v>292581.90579182</v>
      </c>
      <c r="E33" s="26" t="n">
        <v>0.40877914951989</v>
      </c>
      <c r="F33" s="27" t="n">
        <v>14.9483809317839</v>
      </c>
    </row>
    <row r="34" customFormat="false" ht="15" hidden="false" customHeight="false" outlineLevel="0" collapsed="false">
      <c r="A34" s="11" t="s">
        <v>197</v>
      </c>
      <c r="B34" s="23" t="n">
        <v>1680</v>
      </c>
      <c r="C34" s="23" t="n">
        <v>3433</v>
      </c>
      <c r="D34" s="24" t="n">
        <v>353160.90713676</v>
      </c>
      <c r="E34" s="15" t="n">
        <v>0.436904761904762</v>
      </c>
      <c r="F34" s="24" t="n">
        <v>15.7164984576641</v>
      </c>
    </row>
    <row r="35" customFormat="false" ht="15" hidden="false" customHeight="false" outlineLevel="0" collapsed="false">
      <c r="A35" s="16" t="s">
        <v>198</v>
      </c>
      <c r="B35" s="25" t="n">
        <v>1512</v>
      </c>
      <c r="C35" s="25" t="n">
        <v>3196</v>
      </c>
      <c r="D35" s="27" t="n">
        <v>316707.93624168</v>
      </c>
      <c r="E35" s="26" t="n">
        <v>0.439153439153439</v>
      </c>
      <c r="F35" s="27" t="n">
        <v>18.3221312566308</v>
      </c>
    </row>
    <row r="36" customFormat="false" ht="15" hidden="false" customHeight="false" outlineLevel="0" collapsed="false">
      <c r="A36" s="11" t="s">
        <v>199</v>
      </c>
      <c r="B36" s="23" t="n">
        <v>1590</v>
      </c>
      <c r="C36" s="23" t="n">
        <v>3314</v>
      </c>
      <c r="D36" s="24" t="n">
        <v>328047.53619214</v>
      </c>
      <c r="E36" s="15" t="n">
        <v>0.415094339622642</v>
      </c>
      <c r="F36" s="24" t="n">
        <v>23.2193334723406</v>
      </c>
    </row>
    <row r="37" customFormat="false" ht="15" hidden="false" customHeight="false" outlineLevel="0" collapsed="false">
      <c r="A37" s="16" t="s">
        <v>200</v>
      </c>
      <c r="B37" s="25" t="n">
        <v>1532</v>
      </c>
      <c r="C37" s="25" t="n">
        <v>3230</v>
      </c>
      <c r="D37" s="27" t="n">
        <v>318228.89611471</v>
      </c>
      <c r="E37" s="26" t="n">
        <v>0.382506527415144</v>
      </c>
      <c r="F37" s="27" t="n">
        <v>22.9047827988274</v>
      </c>
    </row>
    <row r="38" customFormat="false" ht="15" hidden="false" customHeight="false" outlineLevel="0" collapsed="false">
      <c r="A38" s="11" t="s">
        <v>201</v>
      </c>
      <c r="B38" s="23" t="n">
        <v>1553</v>
      </c>
      <c r="C38" s="23" t="n">
        <v>3087</v>
      </c>
      <c r="D38" s="24" t="n">
        <v>339524.40511089</v>
      </c>
      <c r="E38" s="15" t="n">
        <v>0.397295556986478</v>
      </c>
      <c r="F38" s="24" t="n">
        <v>22.8813800445413</v>
      </c>
    </row>
    <row r="39" customFormat="false" ht="15" hidden="false" customHeight="false" outlineLevel="0" collapsed="false">
      <c r="A39" s="16" t="s">
        <v>202</v>
      </c>
      <c r="B39" s="25" t="n">
        <v>697</v>
      </c>
      <c r="C39" s="25" t="n">
        <v>771</v>
      </c>
      <c r="D39" s="27" t="n">
        <v>319598.3426854</v>
      </c>
      <c r="E39" s="26" t="n">
        <v>0.467718794835007</v>
      </c>
      <c r="F39" s="27" t="n">
        <v>20.8933416674938</v>
      </c>
    </row>
    <row r="40" customFormat="false" ht="15" hidden="false" customHeight="false" outlineLevel="0" collapsed="false">
      <c r="A40" s="11" t="s">
        <v>203</v>
      </c>
      <c r="B40" s="23" t="n">
        <v>663</v>
      </c>
      <c r="C40" s="23" t="n">
        <v>663</v>
      </c>
      <c r="D40" s="24" t="n">
        <v>201359.23443834</v>
      </c>
      <c r="E40" s="15" t="n">
        <v>0.429864253393665</v>
      </c>
      <c r="F40" s="24" t="n">
        <v>23.4464815646734</v>
      </c>
    </row>
    <row r="41" customFormat="false" ht="15" hidden="false" customHeight="false" outlineLevel="0" collapsed="false">
      <c r="A41" s="16" t="s">
        <v>204</v>
      </c>
      <c r="B41" s="25" t="n">
        <v>609</v>
      </c>
      <c r="C41" s="25" t="n">
        <v>609</v>
      </c>
      <c r="D41" s="27" t="n">
        <v>151612.49214537</v>
      </c>
      <c r="E41" s="26" t="n">
        <v>0.371100164203612</v>
      </c>
      <c r="F41" s="27" t="n">
        <v>26.6037443866731</v>
      </c>
    </row>
    <row r="42" customFormat="false" ht="15" hidden="false" customHeight="false" outlineLevel="0" collapsed="false">
      <c r="A42" s="11" t="s">
        <v>205</v>
      </c>
      <c r="B42" s="23" t="n">
        <v>614</v>
      </c>
      <c r="C42" s="23" t="n">
        <v>614</v>
      </c>
      <c r="D42" s="24" t="n">
        <v>103913.75156973</v>
      </c>
      <c r="E42" s="15" t="n">
        <v>0.371335504885994</v>
      </c>
      <c r="F42" s="24" t="n">
        <v>25.9978741300951</v>
      </c>
    </row>
    <row r="44" customFormat="false" ht="15" hidden="false" customHeight="false" outlineLevel="0" collapsed="false">
      <c r="A44" s="28" t="s">
        <v>206</v>
      </c>
    </row>
    <row r="45" customFormat="false" ht="15" hidden="false" customHeight="false" outlineLevel="0" collapsed="false">
      <c r="A45" s="10" t="s">
        <v>207</v>
      </c>
      <c r="B45" s="10" t="s">
        <v>48</v>
      </c>
      <c r="C45" s="10" t="s">
        <v>167</v>
      </c>
      <c r="D45" s="10" t="s">
        <v>168</v>
      </c>
      <c r="E45" s="10" t="s">
        <v>39</v>
      </c>
    </row>
    <row r="46" customFormat="false" ht="15" hidden="false" customHeight="false" outlineLevel="0" collapsed="false">
      <c r="A46" s="11" t="s">
        <v>106</v>
      </c>
      <c r="B46" s="23" t="n">
        <v>7260</v>
      </c>
      <c r="C46" s="23" t="n">
        <v>21744</v>
      </c>
      <c r="D46" s="24" t="n">
        <v>1307542.59624534</v>
      </c>
      <c r="E46" s="15" t="n">
        <v>0.405785123966942</v>
      </c>
    </row>
    <row r="47" customFormat="false" ht="15" hidden="false" customHeight="false" outlineLevel="0" collapsed="false">
      <c r="A47" s="16" t="s">
        <v>107</v>
      </c>
      <c r="B47" s="25" t="n">
        <v>6771</v>
      </c>
      <c r="C47" s="25" t="n">
        <v>6771</v>
      </c>
      <c r="D47" s="27" t="n">
        <v>880162.3272405</v>
      </c>
      <c r="E47" s="26" t="n">
        <v>0.428297149608625</v>
      </c>
    </row>
    <row r="48" customFormat="false" ht="15" hidden="false" customHeight="false" outlineLevel="0" collapsed="false">
      <c r="A48" s="11" t="s">
        <v>108</v>
      </c>
      <c r="B48" s="23" t="n">
        <v>6348</v>
      </c>
      <c r="C48" s="23" t="n">
        <v>19146</v>
      </c>
      <c r="D48" s="24" t="n">
        <v>957300</v>
      </c>
      <c r="E48" s="15" t="n">
        <v>0.405639571518589</v>
      </c>
    </row>
    <row r="49" customFormat="false" ht="15" hidden="false" customHeight="false" outlineLevel="0" collapsed="false">
      <c r="A49" s="16" t="s">
        <v>109</v>
      </c>
      <c r="B49" s="25" t="n">
        <v>5903</v>
      </c>
      <c r="C49" s="25" t="n">
        <v>17820</v>
      </c>
      <c r="D49" s="27" t="n">
        <v>890643.59186782</v>
      </c>
      <c r="E49" s="26" t="n">
        <v>0.408097577502965</v>
      </c>
    </row>
    <row r="50" customFormat="false" ht="15" hidden="false" customHeight="false" outlineLevel="0" collapsed="false">
      <c r="A50" s="11" t="s">
        <v>110</v>
      </c>
      <c r="B50" s="23" t="n">
        <v>5186</v>
      </c>
      <c r="C50" s="23" t="n">
        <v>5186</v>
      </c>
      <c r="D50" s="24" t="n">
        <v>2074296.337046</v>
      </c>
      <c r="E50" s="15" t="n">
        <v>0.411299652911685</v>
      </c>
    </row>
    <row r="51" customFormat="false" ht="15" hidden="false" customHeight="false" outlineLevel="0" collapsed="false">
      <c r="A51" s="16" t="s">
        <v>111</v>
      </c>
      <c r="B51" s="25" t="n">
        <v>4632</v>
      </c>
      <c r="C51" s="25" t="n">
        <v>4632</v>
      </c>
      <c r="D51" s="27" t="n">
        <v>928453.7052618</v>
      </c>
      <c r="E51" s="26" t="n">
        <v>0.410621761658031</v>
      </c>
    </row>
    <row r="52" customFormat="false" ht="15" hidden="false" customHeight="false" outlineLevel="0" collapsed="false">
      <c r="A52" s="11" t="s">
        <v>112</v>
      </c>
      <c r="B52" s="23" t="n">
        <v>4159</v>
      </c>
      <c r="C52" s="23" t="n">
        <v>4159</v>
      </c>
      <c r="D52" s="24" t="n">
        <v>1247616.865749</v>
      </c>
      <c r="E52" s="15" t="n">
        <v>0.412599182495792</v>
      </c>
    </row>
    <row r="53" customFormat="false" ht="15" hidden="false" customHeight="false" outlineLevel="0" collapsed="false">
      <c r="A53" s="16" t="s">
        <v>113</v>
      </c>
      <c r="B53" s="25" t="n">
        <v>3754</v>
      </c>
      <c r="C53" s="25" t="n">
        <v>11239</v>
      </c>
      <c r="D53" s="27" t="n">
        <v>1103910.44890274</v>
      </c>
      <c r="E53" s="26" t="n">
        <v>0.416622269579116</v>
      </c>
    </row>
    <row r="54" customFormat="false" ht="15" hidden="false" customHeight="false" outlineLevel="0" collapsed="false">
      <c r="A54" s="11" t="s">
        <v>114</v>
      </c>
      <c r="B54" s="23" t="n">
        <v>3221</v>
      </c>
      <c r="C54" s="23" t="n">
        <v>9537</v>
      </c>
      <c r="D54" s="24" t="n">
        <v>382407.13631654</v>
      </c>
      <c r="E54" s="15" t="n">
        <v>0.409500155231295</v>
      </c>
    </row>
    <row r="55" customFormat="false" ht="15" hidden="false" customHeight="false" outlineLevel="0" collapsed="false">
      <c r="A55" s="16" t="s">
        <v>115</v>
      </c>
      <c r="B55" s="25" t="n">
        <v>921</v>
      </c>
      <c r="C55" s="25" t="n">
        <v>2773</v>
      </c>
      <c r="D55" s="27" t="n">
        <v>110747.27115355</v>
      </c>
      <c r="E55" s="26" t="n">
        <v>0.396308360477742</v>
      </c>
    </row>
    <row r="56" customFormat="false" ht="15" hidden="false" customHeight="false" outlineLevel="0" collapsed="false">
      <c r="A56" s="11" t="s">
        <v>116</v>
      </c>
      <c r="B56" s="23" t="n">
        <v>534</v>
      </c>
      <c r="C56" s="23" t="n">
        <v>1568</v>
      </c>
      <c r="D56" s="24" t="n">
        <v>39184.31965474</v>
      </c>
      <c r="E56" s="15" t="n">
        <v>0.389513108614232</v>
      </c>
    </row>
    <row r="57" customFormat="false" ht="15" hidden="false" customHeight="false" outlineLevel="0" collapsed="false">
      <c r="A57" s="16" t="s">
        <v>117</v>
      </c>
      <c r="B57" s="25" t="n">
        <v>412</v>
      </c>
      <c r="C57" s="25" t="n">
        <v>1264</v>
      </c>
      <c r="D57" s="27" t="n">
        <v>22275.35970252</v>
      </c>
      <c r="E57" s="26" t="n">
        <v>0.378640776699029</v>
      </c>
    </row>
    <row r="58" customFormat="false" ht="15" hidden="false" customHeight="false" outlineLevel="0" collapsed="false">
      <c r="A58" s="11" t="s">
        <v>118</v>
      </c>
      <c r="B58" s="23" t="n">
        <v>382</v>
      </c>
      <c r="C58" s="23" t="n">
        <v>1149</v>
      </c>
      <c r="D58" s="24" t="n">
        <v>48536.9002518</v>
      </c>
      <c r="E58" s="15" t="n">
        <v>0.390052356020942</v>
      </c>
    </row>
    <row r="59" customFormat="false" ht="15" hidden="false" customHeight="false" outlineLevel="0" collapsed="false">
      <c r="A59" s="16" t="s">
        <v>120</v>
      </c>
      <c r="B59" s="25" t="n">
        <v>334</v>
      </c>
      <c r="C59" s="25" t="n">
        <v>914</v>
      </c>
      <c r="D59" s="27" t="n">
        <v>34365.860133311</v>
      </c>
      <c r="E59" s="26" t="n">
        <v>0.404191616766467</v>
      </c>
    </row>
    <row r="60" customFormat="false" ht="15" hidden="false" customHeight="false" outlineLevel="0" collapsed="false">
      <c r="A60" s="11" t="s">
        <v>119</v>
      </c>
      <c r="B60" s="23" t="n">
        <v>326</v>
      </c>
      <c r="C60" s="23" t="n">
        <v>929</v>
      </c>
      <c r="D60" s="24" t="n">
        <v>21322.70987569</v>
      </c>
      <c r="E60" s="15" t="n">
        <v>0.423312883435583</v>
      </c>
    </row>
    <row r="61" customFormat="false" ht="15" hidden="false" customHeight="false" outlineLevel="0" collapsed="false">
      <c r="A61" s="16" t="s">
        <v>122</v>
      </c>
      <c r="B61" s="25" t="n">
        <v>210</v>
      </c>
      <c r="C61" s="25" t="n">
        <v>210</v>
      </c>
      <c r="D61" s="27" t="n">
        <v>74991.001281</v>
      </c>
      <c r="E61" s="26" t="n">
        <v>0.438095238095238</v>
      </c>
    </row>
    <row r="62" customFormat="false" ht="15" hidden="false" customHeight="false" outlineLevel="0" collapsed="false">
      <c r="A62" s="11" t="s">
        <v>121</v>
      </c>
      <c r="B62" s="23" t="n">
        <v>206</v>
      </c>
      <c r="C62" s="23" t="n">
        <v>206</v>
      </c>
      <c r="D62" s="24" t="n">
        <v>8188.5</v>
      </c>
      <c r="E62" s="15" t="n">
        <v>0.349514563106796</v>
      </c>
    </row>
    <row r="63" customFormat="false" ht="15" hidden="false" customHeight="false" outlineLevel="0" collapsed="false">
      <c r="A63" s="16" t="s">
        <v>135</v>
      </c>
      <c r="B63" s="25" t="n">
        <v>190</v>
      </c>
      <c r="C63" s="25" t="n">
        <v>190</v>
      </c>
      <c r="D63" s="27" t="n">
        <v>41005.801387</v>
      </c>
      <c r="E63" s="26" t="n">
        <v>0.405263157894737</v>
      </c>
    </row>
    <row r="64" customFormat="false" ht="15" hidden="false" customHeight="false" outlineLevel="0" collapsed="false">
      <c r="A64" s="11" t="s">
        <v>127</v>
      </c>
      <c r="B64" s="23" t="n">
        <v>186</v>
      </c>
      <c r="C64" s="23" t="n">
        <v>498</v>
      </c>
      <c r="D64" s="24" t="n">
        <v>26275.02071686</v>
      </c>
      <c r="E64" s="15" t="n">
        <v>0.376344086021505</v>
      </c>
    </row>
    <row r="65" customFormat="false" ht="15" hidden="false" customHeight="false" outlineLevel="0" collapsed="false">
      <c r="A65" s="16" t="s">
        <v>126</v>
      </c>
      <c r="B65" s="25" t="n">
        <v>185</v>
      </c>
      <c r="C65" s="25" t="n">
        <v>506</v>
      </c>
      <c r="D65" s="27" t="n">
        <v>15861.8698726</v>
      </c>
      <c r="E65" s="26" t="n">
        <v>0.427027027027027</v>
      </c>
    </row>
    <row r="66" customFormat="false" ht="15" hidden="false" customHeight="false" outlineLevel="0" collapsed="false">
      <c r="A66" s="11" t="s">
        <v>134</v>
      </c>
      <c r="B66" s="23" t="n">
        <v>160</v>
      </c>
      <c r="C66" s="23" t="n">
        <v>160</v>
      </c>
      <c r="D66" s="24" t="n">
        <v>13504.0002448</v>
      </c>
      <c r="E66" s="15" t="n">
        <v>0.36875</v>
      </c>
    </row>
    <row r="67" customFormat="false" ht="15" hidden="false" customHeight="false" outlineLevel="0" collapsed="false">
      <c r="A67" s="16" t="s">
        <v>130</v>
      </c>
      <c r="B67" s="25" t="n">
        <v>159</v>
      </c>
      <c r="C67" s="25" t="n">
        <v>442</v>
      </c>
      <c r="D67" s="27" t="n">
        <v>32489</v>
      </c>
      <c r="E67" s="26" t="n">
        <v>0.459119496855346</v>
      </c>
    </row>
    <row r="68" customFormat="false" ht="15" hidden="false" customHeight="false" outlineLevel="0" collapsed="false">
      <c r="A68" s="11" t="s">
        <v>136</v>
      </c>
      <c r="B68" s="23" t="n">
        <v>159</v>
      </c>
      <c r="C68" s="23" t="n">
        <v>159</v>
      </c>
      <c r="D68" s="24" t="n">
        <v>84680.2227189</v>
      </c>
      <c r="E68" s="15" t="n">
        <v>0.433962264150943</v>
      </c>
    </row>
    <row r="69" customFormat="false" ht="15" hidden="false" customHeight="false" outlineLevel="0" collapsed="false">
      <c r="A69" s="16" t="s">
        <v>123</v>
      </c>
      <c r="B69" s="25" t="n">
        <v>157</v>
      </c>
      <c r="C69" s="25" t="n">
        <v>157</v>
      </c>
      <c r="D69" s="27" t="n">
        <v>70970.2813345</v>
      </c>
      <c r="E69" s="26" t="n">
        <v>0.388535031847134</v>
      </c>
    </row>
    <row r="70" customFormat="false" ht="15" hidden="false" customHeight="false" outlineLevel="0" collapsed="false">
      <c r="A70" s="11" t="s">
        <v>128</v>
      </c>
      <c r="B70" s="23" t="n">
        <v>151</v>
      </c>
      <c r="C70" s="23" t="n">
        <v>151</v>
      </c>
      <c r="D70" s="24" t="n">
        <v>24821.3807399</v>
      </c>
      <c r="E70" s="15" t="n">
        <v>0.496688741721854</v>
      </c>
    </row>
    <row r="71" customFormat="false" ht="15" hidden="false" customHeight="false" outlineLevel="0" collapsed="false">
      <c r="A71" s="16" t="s">
        <v>129</v>
      </c>
      <c r="B71" s="25" t="n">
        <v>142</v>
      </c>
      <c r="C71" s="25" t="n">
        <v>142</v>
      </c>
      <c r="D71" s="27" t="n">
        <v>1638.67999432</v>
      </c>
      <c r="E71" s="26" t="n">
        <v>0.415492957746479</v>
      </c>
    </row>
    <row r="72" customFormat="false" ht="15" hidden="false" customHeight="false" outlineLevel="0" collapsed="false">
      <c r="A72" s="11" t="s">
        <v>125</v>
      </c>
      <c r="B72" s="23" t="n">
        <v>139</v>
      </c>
      <c r="C72" s="23" t="n">
        <v>139</v>
      </c>
      <c r="D72" s="24" t="n">
        <v>64145.721529</v>
      </c>
      <c r="E72" s="15" t="n">
        <v>0.330935251798561</v>
      </c>
    </row>
    <row r="73" customFormat="false" ht="15" hidden="false" customHeight="false" outlineLevel="0" collapsed="false">
      <c r="A73" s="16" t="s">
        <v>138</v>
      </c>
      <c r="B73" s="25" t="n">
        <v>136</v>
      </c>
      <c r="C73" s="25" t="n">
        <v>136</v>
      </c>
      <c r="D73" s="27" t="n">
        <v>204000</v>
      </c>
      <c r="E73" s="26" t="n">
        <v>0.492647058823529</v>
      </c>
    </row>
    <row r="74" customFormat="false" ht="15" hidden="false" customHeight="false" outlineLevel="0" collapsed="false">
      <c r="A74" s="11" t="s">
        <v>132</v>
      </c>
      <c r="B74" s="23" t="n">
        <v>136</v>
      </c>
      <c r="C74" s="23" t="n">
        <v>136</v>
      </c>
      <c r="D74" s="24" t="n">
        <v>44574</v>
      </c>
      <c r="E74" s="15" t="n">
        <v>0.382352941176471</v>
      </c>
    </row>
    <row r="75" customFormat="false" ht="15" hidden="false" customHeight="false" outlineLevel="0" collapsed="false">
      <c r="A75" s="16" t="s">
        <v>131</v>
      </c>
      <c r="B75" s="25" t="n">
        <v>134</v>
      </c>
      <c r="C75" s="25" t="n">
        <v>134</v>
      </c>
      <c r="D75" s="27" t="n">
        <v>33885.9206566</v>
      </c>
      <c r="E75" s="26" t="n">
        <v>0.447761194029851</v>
      </c>
    </row>
    <row r="76" customFormat="false" ht="15" hidden="false" customHeight="false" outlineLevel="0" collapsed="false">
      <c r="A76" s="11" t="s">
        <v>145</v>
      </c>
      <c r="B76" s="23" t="n">
        <v>132</v>
      </c>
      <c r="C76" s="23" t="n">
        <v>301</v>
      </c>
      <c r="D76" s="24" t="n">
        <v>10246.99004239</v>
      </c>
      <c r="E76" s="15" t="n">
        <v>0.5</v>
      </c>
    </row>
    <row r="77" customFormat="false" ht="15" hidden="false" customHeight="false" outlineLevel="0" collapsed="false">
      <c r="A77" s="16" t="s">
        <v>143</v>
      </c>
      <c r="B77" s="25" t="n">
        <v>127</v>
      </c>
      <c r="C77" s="25" t="n">
        <v>127</v>
      </c>
      <c r="D77" s="27" t="n">
        <v>3947.15998984</v>
      </c>
      <c r="E77" s="26" t="n">
        <v>0.440944881889764</v>
      </c>
    </row>
    <row r="78" customFormat="false" ht="15" hidden="false" customHeight="false" outlineLevel="0" collapsed="false">
      <c r="A78" s="11" t="s">
        <v>137</v>
      </c>
      <c r="B78" s="23" t="n">
        <v>125</v>
      </c>
      <c r="C78" s="23" t="n">
        <v>125</v>
      </c>
      <c r="D78" s="24" t="n">
        <v>32581.2492375</v>
      </c>
      <c r="E78" s="15" t="n">
        <v>0.368</v>
      </c>
    </row>
    <row r="79" customFormat="false" ht="15" hidden="false" customHeight="false" outlineLevel="0" collapsed="false">
      <c r="A79" s="16" t="s">
        <v>139</v>
      </c>
      <c r="B79" s="25" t="n">
        <v>124</v>
      </c>
      <c r="C79" s="25" t="n">
        <v>378</v>
      </c>
      <c r="D79" s="27" t="n">
        <v>17192.85998062</v>
      </c>
      <c r="E79" s="26" t="n">
        <v>0.395161290322581</v>
      </c>
    </row>
    <row r="80" customFormat="false" ht="15" hidden="false" customHeight="false" outlineLevel="0" collapsed="false">
      <c r="A80" s="11" t="s">
        <v>133</v>
      </c>
      <c r="B80" s="23" t="n">
        <v>124</v>
      </c>
      <c r="C80" s="23" t="n">
        <v>383</v>
      </c>
      <c r="D80" s="24" t="n">
        <v>25215.7103042</v>
      </c>
      <c r="E80" s="15" t="n">
        <v>0.411290322580645</v>
      </c>
    </row>
    <row r="81" customFormat="false" ht="15" hidden="false" customHeight="false" outlineLevel="0" collapsed="false">
      <c r="A81" s="16" t="s">
        <v>140</v>
      </c>
      <c r="B81" s="25" t="n">
        <v>117</v>
      </c>
      <c r="C81" s="25" t="n">
        <v>117</v>
      </c>
      <c r="D81" s="27" t="n">
        <v>34285.6809945</v>
      </c>
      <c r="E81" s="26" t="n">
        <v>0.376068376068376</v>
      </c>
    </row>
    <row r="82" customFormat="false" ht="15" hidden="false" customHeight="false" outlineLevel="0" collapsed="false">
      <c r="A82" s="11" t="s">
        <v>124</v>
      </c>
      <c r="B82" s="23" t="n">
        <v>112</v>
      </c>
      <c r="C82" s="23" t="n">
        <v>186</v>
      </c>
      <c r="D82" s="24" t="n">
        <v>28673.75973372</v>
      </c>
      <c r="E82" s="15" t="n">
        <v>0.339285714285714</v>
      </c>
    </row>
    <row r="83" customFormat="false" ht="15" hidden="false" customHeight="false" outlineLevel="0" collapsed="false">
      <c r="A83" s="16" t="s">
        <v>142</v>
      </c>
      <c r="B83" s="25" t="n">
        <v>111</v>
      </c>
      <c r="C83" s="25" t="n">
        <v>352</v>
      </c>
      <c r="D83" s="27" t="n">
        <v>15836.48015766</v>
      </c>
      <c r="E83" s="26" t="n">
        <v>0.414414414414414</v>
      </c>
    </row>
    <row r="84" customFormat="false" ht="15" hidden="false" customHeight="false" outlineLevel="0" collapsed="false">
      <c r="A84" s="11" t="s">
        <v>141</v>
      </c>
      <c r="B84" s="23" t="n">
        <v>97</v>
      </c>
      <c r="C84" s="23" t="n">
        <v>284</v>
      </c>
      <c r="D84" s="24" t="n">
        <v>10547.15990722</v>
      </c>
      <c r="E84" s="15" t="n">
        <v>0.463917525773196</v>
      </c>
    </row>
    <row r="85" customFormat="false" ht="15" hidden="false" customHeight="false" outlineLevel="0" collapsed="false">
      <c r="A85" s="16" t="s">
        <v>148</v>
      </c>
      <c r="B85" s="25" t="n">
        <v>88</v>
      </c>
      <c r="C85" s="25" t="n">
        <v>120</v>
      </c>
      <c r="D85" s="27" t="n">
        <v>13598.80014916</v>
      </c>
      <c r="E85" s="26" t="n">
        <v>0.477272727272727</v>
      </c>
    </row>
    <row r="86" customFormat="false" ht="15" hidden="false" customHeight="false" outlineLevel="0" collapsed="false">
      <c r="A86" s="11" t="s">
        <v>144</v>
      </c>
      <c r="B86" s="23" t="n">
        <v>88</v>
      </c>
      <c r="C86" s="23" t="n">
        <v>238</v>
      </c>
      <c r="D86" s="24" t="n">
        <v>8892.62018094</v>
      </c>
      <c r="E86" s="15" t="n">
        <v>0.329545454545455</v>
      </c>
    </row>
    <row r="87" customFormat="false" ht="15" hidden="false" customHeight="false" outlineLevel="0" collapsed="false">
      <c r="A87" s="16" t="s">
        <v>150</v>
      </c>
      <c r="B87" s="25" t="n">
        <v>82</v>
      </c>
      <c r="C87" s="25" t="n">
        <v>82</v>
      </c>
      <c r="D87" s="27" t="n">
        <v>925.77999672</v>
      </c>
      <c r="E87" s="26" t="n">
        <v>0.390243902439024</v>
      </c>
    </row>
    <row r="88" customFormat="false" ht="15" hidden="false" customHeight="false" outlineLevel="0" collapsed="false">
      <c r="A88" s="11" t="s">
        <v>149</v>
      </c>
      <c r="B88" s="23" t="n">
        <v>72</v>
      </c>
      <c r="C88" s="23" t="n">
        <v>72</v>
      </c>
      <c r="D88" s="24" t="n">
        <v>4253.76013176</v>
      </c>
      <c r="E88" s="15" t="n">
        <v>0.416666666666667</v>
      </c>
    </row>
    <row r="89" customFormat="false" ht="15" hidden="false" customHeight="false" outlineLevel="0" collapsed="false">
      <c r="A89" s="16" t="s">
        <v>147</v>
      </c>
      <c r="B89" s="25" t="n">
        <v>66</v>
      </c>
      <c r="C89" s="25" t="n">
        <v>66</v>
      </c>
      <c r="D89" s="27" t="n">
        <v>13916.1004026</v>
      </c>
      <c r="E89" s="26" t="n">
        <v>0.409090909090909</v>
      </c>
    </row>
    <row r="90" customFormat="false" ht="15" hidden="false" customHeight="false" outlineLevel="0" collapsed="false">
      <c r="A90" s="11" t="s">
        <v>146</v>
      </c>
      <c r="B90" s="23" t="n">
        <v>51</v>
      </c>
      <c r="C90" s="23" t="n">
        <v>105</v>
      </c>
      <c r="D90" s="24" t="n">
        <v>12048.9500202</v>
      </c>
      <c r="E90" s="15" t="n">
        <v>0.470588235294118</v>
      </c>
    </row>
    <row r="91" customFormat="false" ht="15" hidden="false" customHeight="false" outlineLevel="0" collapsed="false">
      <c r="A91" s="16" t="s">
        <v>153</v>
      </c>
      <c r="B91" s="25" t="n">
        <v>35</v>
      </c>
      <c r="C91" s="25" t="n">
        <v>62</v>
      </c>
      <c r="D91" s="27" t="n">
        <v>5814.37991398</v>
      </c>
      <c r="E91" s="26" t="n">
        <v>0.457142857142857</v>
      </c>
    </row>
    <row r="92" customFormat="false" ht="15" hidden="false" customHeight="false" outlineLevel="0" collapsed="false">
      <c r="A92" s="11" t="s">
        <v>152</v>
      </c>
      <c r="B92" s="23" t="n">
        <v>22</v>
      </c>
      <c r="C92" s="23" t="n">
        <v>22</v>
      </c>
      <c r="D92" s="24" t="n">
        <v>9889.879882</v>
      </c>
      <c r="E92" s="15" t="n">
        <v>0.363636363636364</v>
      </c>
    </row>
    <row r="93" customFormat="false" ht="15" hidden="false" customHeight="false" outlineLevel="0" collapsed="false">
      <c r="A93" s="16" t="s">
        <v>154</v>
      </c>
      <c r="B93" s="25" t="n">
        <v>22</v>
      </c>
      <c r="C93" s="25" t="n">
        <v>63</v>
      </c>
      <c r="D93" s="27" t="n">
        <v>6299.3700178</v>
      </c>
      <c r="E93" s="26" t="n">
        <v>0.5</v>
      </c>
    </row>
    <row r="94" customFormat="false" ht="15" hidden="false" customHeight="false" outlineLevel="0" collapsed="false">
      <c r="A94" s="11" t="s">
        <v>151</v>
      </c>
      <c r="B94" s="23" t="n">
        <v>18</v>
      </c>
      <c r="C94" s="23" t="n">
        <v>18</v>
      </c>
      <c r="D94" s="24" t="n">
        <v>7499.8198236</v>
      </c>
      <c r="E94" s="15" t="n">
        <v>0.5</v>
      </c>
    </row>
    <row r="95" customFormat="false" ht="15" hidden="false" customHeight="false" outlineLevel="0" collapsed="false">
      <c r="A95" s="16" t="s">
        <v>208</v>
      </c>
      <c r="B95" s="25" t="n">
        <v>16</v>
      </c>
      <c r="C95" s="25" t="n">
        <v>16</v>
      </c>
      <c r="D95" s="27" t="n">
        <v>2719.840088</v>
      </c>
      <c r="E95" s="26" t="n">
        <v>0.375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209</v>
      </c>
    </row>
    <row r="2" customFormat="false" ht="15" hidden="false" customHeight="false" outlineLevel="0" collapsed="false">
      <c r="A2" s="2" t="s">
        <v>210</v>
      </c>
    </row>
    <row r="4" customFormat="false" ht="15" hidden="false" customHeight="false" outlineLevel="0" collapsed="false">
      <c r="A4" s="28" t="s">
        <v>211</v>
      </c>
    </row>
    <row r="5" customFormat="false" ht="26.85" hidden="false" customHeight="false" outlineLevel="0" collapsed="false">
      <c r="A5" s="10" t="s">
        <v>212</v>
      </c>
      <c r="B5" s="10" t="s">
        <v>213</v>
      </c>
      <c r="C5" s="10" t="s">
        <v>214</v>
      </c>
    </row>
    <row r="6" customFormat="false" ht="15" hidden="false" customHeight="false" outlineLevel="0" collapsed="false">
      <c r="A6" s="11" t="s">
        <v>215</v>
      </c>
      <c r="B6" s="24" t="n">
        <v>66311.2354599745</v>
      </c>
      <c r="C6" s="15" t="n">
        <v>0.0177352484297397</v>
      </c>
    </row>
    <row r="7" customFormat="false" ht="15" hidden="false" customHeight="false" outlineLevel="0" collapsed="false">
      <c r="A7" s="16" t="s">
        <v>216</v>
      </c>
      <c r="B7" s="27" t="n">
        <v>97485.5456005968</v>
      </c>
      <c r="C7" s="26" t="n">
        <v>0.0260729627120111</v>
      </c>
    </row>
    <row r="8" customFormat="false" ht="15" hidden="false" customHeight="false" outlineLevel="0" collapsed="false">
      <c r="A8" s="11" t="s">
        <v>217</v>
      </c>
      <c r="B8" s="24" t="n">
        <v>55369.6</v>
      </c>
      <c r="C8" s="15" t="n">
        <v>0.0148088571211744</v>
      </c>
    </row>
    <row r="9" customFormat="false" ht="15" hidden="false" customHeight="false" outlineLevel="0" collapsed="false">
      <c r="A9" s="20" t="s">
        <v>218</v>
      </c>
      <c r="B9" s="31" t="n">
        <f aca="false">SUM(B6:B8)</f>
        <v>219166.381060571</v>
      </c>
    </row>
    <row r="11" customFormat="false" ht="15" hidden="false" customHeight="false" outlineLevel="0" collapsed="false">
      <c r="A11" s="28" t="s">
        <v>100</v>
      </c>
    </row>
    <row r="12" customFormat="false" ht="26.85" hidden="false" customHeight="false" outlineLevel="0" collapsed="false">
      <c r="A12" s="10" t="s">
        <v>61</v>
      </c>
      <c r="B12" s="10" t="s">
        <v>219</v>
      </c>
      <c r="C12" s="10" t="s">
        <v>220</v>
      </c>
      <c r="D12" s="10" t="s">
        <v>221</v>
      </c>
      <c r="E12" s="10" t="s">
        <v>222</v>
      </c>
      <c r="F12" s="10" t="s">
        <v>223</v>
      </c>
    </row>
    <row r="13" customFormat="false" ht="15" hidden="false" customHeight="false" outlineLevel="0" collapsed="false">
      <c r="A13" s="11" t="s">
        <v>62</v>
      </c>
      <c r="B13" s="24" t="n">
        <v>410693.536955225</v>
      </c>
      <c r="C13" s="24" t="n">
        <v>7406.5755631141</v>
      </c>
      <c r="D13" s="24" t="n">
        <v>45176.2890650748</v>
      </c>
      <c r="E13" s="24" t="n">
        <v>52582.8646281889</v>
      </c>
      <c r="F13" s="15" t="n">
        <v>0.1280343124414</v>
      </c>
    </row>
    <row r="14" customFormat="false" ht="15" hidden="false" customHeight="false" outlineLevel="0" collapsed="false">
      <c r="A14" s="16" t="s">
        <v>64</v>
      </c>
      <c r="B14" s="27" t="n">
        <v>257966.188643753</v>
      </c>
      <c r="C14" s="27" t="n">
        <v>4608.95697307652</v>
      </c>
      <c r="D14" s="27" t="n">
        <v>28376.2807508128</v>
      </c>
      <c r="E14" s="27" t="n">
        <v>32985.2377238893</v>
      </c>
      <c r="F14" s="26" t="n">
        <v>0.127866515752735</v>
      </c>
    </row>
    <row r="15" customFormat="false" ht="15" hidden="false" customHeight="false" outlineLevel="0" collapsed="false">
      <c r="A15" s="11" t="s">
        <v>69</v>
      </c>
      <c r="B15" s="24" t="n">
        <v>128113.219845421</v>
      </c>
      <c r="C15" s="24" t="n">
        <v>2334.10363182715</v>
      </c>
      <c r="D15" s="24" t="n">
        <v>14092.4541829963</v>
      </c>
      <c r="E15" s="24" t="n">
        <v>16426.5578148235</v>
      </c>
      <c r="F15" s="15" t="n">
        <v>0.128219069309502</v>
      </c>
    </row>
    <row r="16" customFormat="false" ht="15" hidden="false" customHeight="false" outlineLevel="0" collapsed="false">
      <c r="A16" s="16" t="s">
        <v>63</v>
      </c>
      <c r="B16" s="27" t="n">
        <v>608754.97934065</v>
      </c>
      <c r="C16" s="27" t="n">
        <v>10646.2919923813</v>
      </c>
      <c r="D16" s="27" t="n">
        <v>0</v>
      </c>
      <c r="E16" s="27" t="n">
        <v>10646.2919923813</v>
      </c>
      <c r="F16" s="26" t="n">
        <v>0.0174886322965479</v>
      </c>
    </row>
    <row r="17" customFormat="false" ht="15" hidden="false" customHeight="false" outlineLevel="0" collapsed="false">
      <c r="A17" s="11" t="s">
        <v>73</v>
      </c>
      <c r="B17" s="24" t="n">
        <v>76281.727310773</v>
      </c>
      <c r="C17" s="24" t="n">
        <v>1340.12971295835</v>
      </c>
      <c r="D17" s="24" t="n">
        <v>8390.99000418503</v>
      </c>
      <c r="E17" s="24" t="n">
        <v>9731.11971714338</v>
      </c>
      <c r="F17" s="15" t="n">
        <v>0.12756816160571</v>
      </c>
    </row>
    <row r="18" customFormat="false" ht="15" hidden="false" customHeight="false" outlineLevel="0" collapsed="false">
      <c r="A18" s="16" t="s">
        <v>65</v>
      </c>
      <c r="B18" s="27" t="n">
        <v>272563.343288911</v>
      </c>
      <c r="C18" s="27" t="n">
        <v>4856.64669761273</v>
      </c>
      <c r="D18" s="27" t="n">
        <v>0</v>
      </c>
      <c r="E18" s="27" t="n">
        <v>4856.64669761273</v>
      </c>
      <c r="F18" s="26" t="n">
        <v>0.0178184147545651</v>
      </c>
    </row>
    <row r="19" customFormat="false" ht="15" hidden="false" customHeight="false" outlineLevel="0" collapsed="false">
      <c r="A19" s="11" t="s">
        <v>67</v>
      </c>
      <c r="B19" s="24" t="n">
        <v>244709.187771799</v>
      </c>
      <c r="C19" s="24" t="n">
        <v>4326.02031847273</v>
      </c>
      <c r="D19" s="24" t="n">
        <v>0</v>
      </c>
      <c r="E19" s="24" t="n">
        <v>4326.02031847273</v>
      </c>
      <c r="F19" s="15" t="n">
        <v>0.017678209624507</v>
      </c>
    </row>
    <row r="20" customFormat="false" ht="15" hidden="false" customHeight="false" outlineLevel="0" collapsed="false">
      <c r="A20" s="16" t="s">
        <v>66</v>
      </c>
      <c r="B20" s="27" t="n">
        <v>225970.532461397</v>
      </c>
      <c r="C20" s="27" t="n">
        <v>4084.15599260654</v>
      </c>
      <c r="D20" s="27" t="n">
        <v>0</v>
      </c>
      <c r="E20" s="27" t="n">
        <v>4084.15599260654</v>
      </c>
      <c r="F20" s="26" t="n">
        <v>0.0180738432932809</v>
      </c>
    </row>
    <row r="21" customFormat="false" ht="15" hidden="false" customHeight="false" outlineLevel="0" collapsed="false">
      <c r="A21" s="11" t="s">
        <v>68</v>
      </c>
      <c r="B21" s="24" t="n">
        <v>217190.566984546</v>
      </c>
      <c r="C21" s="24" t="n">
        <v>3727.49204649668</v>
      </c>
      <c r="D21" s="24" t="n">
        <v>0</v>
      </c>
      <c r="E21" s="24" t="n">
        <v>3727.49204649668</v>
      </c>
      <c r="F21" s="15" t="n">
        <v>0.0171623109523072</v>
      </c>
    </row>
    <row r="22" customFormat="false" ht="15" hidden="false" customHeight="false" outlineLevel="0" collapsed="false">
      <c r="A22" s="16" t="s">
        <v>71</v>
      </c>
      <c r="B22" s="27" t="n">
        <v>197636.983662836</v>
      </c>
      <c r="C22" s="27" t="n">
        <v>3472.54684544025</v>
      </c>
      <c r="D22" s="27" t="n">
        <v>0</v>
      </c>
      <c r="E22" s="27" t="n">
        <v>3472.54684544025</v>
      </c>
      <c r="F22" s="26" t="n">
        <v>0.0175703291007736</v>
      </c>
    </row>
    <row r="23" customFormat="false" ht="15" hidden="false" customHeight="false" outlineLevel="0" collapsed="false">
      <c r="A23" s="11" t="s">
        <v>72</v>
      </c>
      <c r="B23" s="24" t="n">
        <v>189876.549461378</v>
      </c>
      <c r="C23" s="24" t="n">
        <v>3397.98743413921</v>
      </c>
      <c r="D23" s="24" t="n">
        <v>0</v>
      </c>
      <c r="E23" s="24" t="n">
        <v>3397.98743413921</v>
      </c>
      <c r="F23" s="15" t="n">
        <v>0.0178957719833136</v>
      </c>
    </row>
    <row r="24" customFormat="false" ht="15" hidden="false" customHeight="false" outlineLevel="0" collapsed="false">
      <c r="A24" s="16" t="s">
        <v>70</v>
      </c>
      <c r="B24" s="27" t="n">
        <v>155959.469599745</v>
      </c>
      <c r="C24" s="27" t="n">
        <v>2849.20894074519</v>
      </c>
      <c r="D24" s="27" t="n">
        <v>0</v>
      </c>
      <c r="E24" s="27" t="n">
        <v>2849.20894074519</v>
      </c>
      <c r="F24" s="26" t="n">
        <v>0.0182689063258384</v>
      </c>
    </row>
    <row r="25" customFormat="false" ht="15" hidden="false" customHeight="false" outlineLevel="0" collapsed="false">
      <c r="A25" s="11" t="s">
        <v>74</v>
      </c>
      <c r="B25" s="24" t="n">
        <v>144708.791893618</v>
      </c>
      <c r="C25" s="24" t="n">
        <v>2563.69100082586</v>
      </c>
      <c r="D25" s="24" t="n">
        <v>0</v>
      </c>
      <c r="E25" s="24" t="n">
        <v>2563.69100082586</v>
      </c>
      <c r="F25" s="15" t="n">
        <v>0.0177162076144658</v>
      </c>
    </row>
    <row r="26" customFormat="false" ht="15" hidden="false" customHeight="false" outlineLevel="0" collapsed="false">
      <c r="A26" s="16" t="s">
        <v>75</v>
      </c>
      <c r="B26" s="27" t="n">
        <v>116998.772761706</v>
      </c>
      <c r="C26" s="27" t="n">
        <v>2019.56377385668</v>
      </c>
      <c r="D26" s="27" t="n">
        <v>0</v>
      </c>
      <c r="E26" s="27" t="n">
        <v>2019.56377385668</v>
      </c>
      <c r="F26" s="26" t="n">
        <v>0.017261409895042</v>
      </c>
    </row>
    <row r="27" customFormat="false" ht="15" hidden="false" customHeight="false" outlineLevel="0" collapsed="false">
      <c r="A27" s="11" t="s">
        <v>78</v>
      </c>
      <c r="B27" s="24" t="n">
        <v>92772.4213041287</v>
      </c>
      <c r="C27" s="24" t="n">
        <v>1697.90313013801</v>
      </c>
      <c r="D27" s="24" t="n">
        <v>0</v>
      </c>
      <c r="E27" s="24" t="n">
        <v>1697.90313013801</v>
      </c>
      <c r="F27" s="15" t="n">
        <v>0.0183018089456984</v>
      </c>
    </row>
    <row r="28" customFormat="false" ht="15" hidden="false" customHeight="false" outlineLevel="0" collapsed="false">
      <c r="A28" s="16" t="s">
        <v>83</v>
      </c>
      <c r="B28" s="27" t="n">
        <v>13177.5599775267</v>
      </c>
      <c r="C28" s="27" t="n">
        <v>232.029132233363</v>
      </c>
      <c r="D28" s="27" t="n">
        <v>1449.53159752794</v>
      </c>
      <c r="E28" s="27" t="n">
        <v>1681.5607297613</v>
      </c>
      <c r="F28" s="26" t="n">
        <v>0.127607898019745</v>
      </c>
    </row>
    <row r="29" customFormat="false" ht="15" hidden="false" customHeight="false" outlineLevel="0" collapsed="false">
      <c r="A29" s="11" t="s">
        <v>77</v>
      </c>
      <c r="B29" s="24" t="n">
        <v>93250.2391460698</v>
      </c>
      <c r="C29" s="24" t="n">
        <v>1649.34839387152</v>
      </c>
      <c r="D29" s="24" t="n">
        <v>0</v>
      </c>
      <c r="E29" s="24" t="n">
        <v>1649.34839387152</v>
      </c>
      <c r="F29" s="15" t="n">
        <v>0.0176873368795111</v>
      </c>
    </row>
    <row r="30" customFormat="false" ht="15" hidden="false" customHeight="false" outlineLevel="0" collapsed="false">
      <c r="A30" s="16" t="s">
        <v>76</v>
      </c>
      <c r="B30" s="27" t="n">
        <v>79674.9057024398</v>
      </c>
      <c r="C30" s="27" t="n">
        <v>1416.11710948982</v>
      </c>
      <c r="D30" s="27" t="n">
        <v>0</v>
      </c>
      <c r="E30" s="27" t="n">
        <v>1416.11710948982</v>
      </c>
      <c r="F30" s="26" t="n">
        <v>0.0177736904362154</v>
      </c>
    </row>
    <row r="31" customFormat="false" ht="15" hidden="false" customHeight="false" outlineLevel="0" collapsed="false">
      <c r="A31" s="11" t="s">
        <v>79</v>
      </c>
      <c r="B31" s="24" t="n">
        <v>77647.1450195714</v>
      </c>
      <c r="C31" s="24" t="n">
        <v>1364.06326690468</v>
      </c>
      <c r="D31" s="24" t="n">
        <v>0</v>
      </c>
      <c r="E31" s="24" t="n">
        <v>1364.06326690468</v>
      </c>
      <c r="F31" s="15" t="n">
        <v>0.0175674619660627</v>
      </c>
    </row>
    <row r="32" customFormat="false" ht="15" hidden="false" customHeight="false" outlineLevel="0" collapsed="false">
      <c r="A32" s="16" t="s">
        <v>80</v>
      </c>
      <c r="B32" s="27" t="n">
        <v>47129.8386313704</v>
      </c>
      <c r="C32" s="27" t="n">
        <v>845.394207284781</v>
      </c>
      <c r="D32" s="27" t="n">
        <v>0</v>
      </c>
      <c r="E32" s="27" t="n">
        <v>845.394207284781</v>
      </c>
      <c r="F32" s="26" t="n">
        <v>0.017937557857923</v>
      </c>
    </row>
    <row r="33" customFormat="false" ht="15" hidden="false" customHeight="false" outlineLevel="0" collapsed="false">
      <c r="A33" s="11" t="s">
        <v>81</v>
      </c>
      <c r="B33" s="24" t="n">
        <v>43653.1964698317</v>
      </c>
      <c r="C33" s="24" t="n">
        <v>751.806908334489</v>
      </c>
      <c r="D33" s="24" t="n">
        <v>0</v>
      </c>
      <c r="E33" s="24" t="n">
        <v>751.806908334489</v>
      </c>
      <c r="F33" s="15" t="n">
        <v>0.0172222647854448</v>
      </c>
    </row>
    <row r="34" customFormat="false" ht="15" hidden="false" customHeight="false" outlineLevel="0" collapsed="false">
      <c r="A34" s="16" t="s">
        <v>82</v>
      </c>
      <c r="B34" s="27" t="n">
        <v>29302.2144496012</v>
      </c>
      <c r="C34" s="27" t="n">
        <v>482.332994849044</v>
      </c>
      <c r="D34" s="27" t="n">
        <v>0</v>
      </c>
      <c r="E34" s="27" t="n">
        <v>482.332994849044</v>
      </c>
      <c r="F34" s="26" t="n">
        <v>0.0164606328876146</v>
      </c>
    </row>
    <row r="35" customFormat="false" ht="15" hidden="false" customHeight="false" outlineLevel="0" collapsed="false">
      <c r="A35" s="11" t="s">
        <v>84</v>
      </c>
      <c r="B35" s="24" t="n">
        <v>14920.2274683751</v>
      </c>
      <c r="C35" s="24" t="n">
        <v>238.869393315619</v>
      </c>
      <c r="D35" s="24" t="n">
        <v>0</v>
      </c>
      <c r="E35" s="24" t="n">
        <v>238.869393315619</v>
      </c>
      <c r="F35" s="15" t="n">
        <v>0.0160097688739616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2026-07-06T06:12:50Z</dcterms:created>
  <dc:creator>openpyxl</dc:creator>
  <dc:description/>
  <dc:language>en-US</dc:language>
  <cp:lastModifiedBy/>
  <dcterms:modified xsi:type="dcterms:W3CDTF">2026-07-06T06:12:50Z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